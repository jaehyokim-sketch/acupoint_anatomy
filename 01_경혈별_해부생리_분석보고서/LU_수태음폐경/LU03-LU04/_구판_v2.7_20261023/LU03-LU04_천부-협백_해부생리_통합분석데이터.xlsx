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요약_ARI" sheetId="1" state="visible" r:id="rId1"/>
    <sheet xmlns:r="http://schemas.openxmlformats.org/officeDocument/2006/relationships" name="01_문헌스크리닝" sheetId="2" state="visible" r:id="rId2"/>
    <sheet xmlns:r="http://schemas.openxmlformats.org/officeDocument/2006/relationships" name="02_원천_재인용" sheetId="3" state="visible" r:id="rId3"/>
    <sheet xmlns:r="http://schemas.openxmlformats.org/officeDocument/2006/relationships" name="03_이명검증" sheetId="4" state="visible" r:id="rId4"/>
    <sheet xmlns:r="http://schemas.openxmlformats.org/officeDocument/2006/relationships" name="04_3D좌표_Layer" sheetId="5" state="visible" r:id="rId5"/>
    <sheet xmlns:r="http://schemas.openxmlformats.org/officeDocument/2006/relationships" name="05_자침심도" sheetId="6" state="visible" r:id="rId6"/>
    <sheet xmlns:r="http://schemas.openxmlformats.org/officeDocument/2006/relationships" name="06_교재비교" sheetId="7" state="visible" r:id="rId7"/>
    <sheet xmlns:r="http://schemas.openxmlformats.org/officeDocument/2006/relationships" name="07_분기추론_쟁점" sheetId="8" state="visible" r:id="rId8"/>
    <sheet xmlns:r="http://schemas.openxmlformats.org/officeDocument/2006/relationships" name="08_생의학근거" sheetId="9" state="visible" r:id="rId9"/>
    <sheet xmlns:r="http://schemas.openxmlformats.org/officeDocument/2006/relationships" name="09_주치분리" sheetId="10" state="visible" r:id="rId10"/>
    <sheet xmlns:r="http://schemas.openxmlformats.org/officeDocument/2006/relationships" name="구판_10_ARI평가" sheetId="11" state="visible" r:id="rId11"/>
    <sheet xmlns:r="http://schemas.openxmlformats.org/officeDocument/2006/relationships" name="11_정정감사" sheetId="12" state="visible" r:id="rId12"/>
    <sheet xmlns:r="http://schemas.openxmlformats.org/officeDocument/2006/relationships" name="구판_12_ARI_수식검산" sheetId="13" state="visible" r:id="rId13"/>
    <sheet xmlns:r="http://schemas.openxmlformats.org/officeDocument/2006/relationships" name="13_Δ_자침심도_수식" sheetId="14" state="visible" r:id="rId14"/>
    <sheet xmlns:r="http://schemas.openxmlformats.org/officeDocument/2006/relationships" name="ARI_v3.0" sheetId="15" state="visible" r:id="rId15"/>
    <sheet xmlns:r="http://schemas.openxmlformats.org/officeDocument/2006/relationships" name="B-Check" sheetId="16" state="visible" r:id="rId16"/>
    <sheet xmlns:r="http://schemas.openxmlformats.org/officeDocument/2006/relationships" name="LayerA_papers" sheetId="17" state="visible" r:id="rId17"/>
    <sheet xmlns:r="http://schemas.openxmlformats.org/officeDocument/2006/relationships" name="외부검색로그" sheetId="18" state="visible" r:id="rId18"/>
    <sheet xmlns:r="http://schemas.openxmlformats.org/officeDocument/2006/relationships" name="개정이력" sheetId="19" state="visible" r:id="rId1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8A3B12"/>
      <sz val="12"/>
    </font>
    <font>
      <b val="1"/>
    </font>
    <font>
      <b val="1"/>
      <color rgb="009C5700"/>
    </font>
  </fonts>
  <fills count="4">
    <fill>
      <patternFill/>
    </fill>
    <fill>
      <patternFill patternType="gray125"/>
    </fill>
    <fill>
      <patternFill patternType="solid">
        <fgColor rgb="00EFEBE2"/>
      </patternFill>
    </fill>
    <fill>
      <patternFill patternType="solid">
        <fgColor rgb="00FFEB9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2" borderId="0" pivotButton="0" quotePrefix="0" xfId="0"/>
    <xf numFmtId="0" fontId="2" fillId="0"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7.5" customWidth="1" min="1" max="1"/>
    <col width="12" customWidth="1" min="2" max="2"/>
    <col width="12" customWidth="1" min="3" max="3"/>
  </cols>
  <sheetData>
    <row r="1">
      <c r="A1" s="6" t="inlineStr">
        <is>
          <t>⚠ 구판 v2.6 데이터 시트 — 원전 대조·채점 오류가 포함되어 있을 수 있음. 2026-10-04 v2.7 개정본 .md 보고서와 'ARI_v3.0'·'B-Check'·'개정이력' 시트가 정본.</t>
        </is>
      </c>
    </row>
    <row r="2">
      <c r="A2" s="1" t="inlineStr">
        <is>
          <t>0. 요약 (Executive Summary)</t>
        </is>
      </c>
    </row>
    <row r="3">
      <c r="A3" s="2" t="inlineStr">
        <is>
          <t>타깃</t>
        </is>
      </c>
      <c r="B3" s="2" t="inlineStr">
        <is>
          <t>ARI</t>
        </is>
      </c>
      <c r="C3" s="2" t="inlineStr">
        <is>
          <t>등급</t>
        </is>
      </c>
    </row>
    <row r="4">
      <c r="A4" s="3" t="inlineStr">
        <is>
          <t>cLU3</t>
        </is>
      </c>
      <c r="B4" s="3" t="inlineStr">
        <is>
          <t>82.75</t>
        </is>
      </c>
      <c r="C4" s="3" t="inlineStr">
        <is>
          <t>B+</t>
        </is>
      </c>
    </row>
    <row r="5">
      <c r="A5" s="3" t="inlineStr">
        <is>
          <t>cLU4</t>
        </is>
      </c>
      <c r="B5" s="3" t="inlineStr">
        <is>
          <t>81.10</t>
        </is>
      </c>
      <c r="C5" s="3" t="inlineStr">
        <is>
          <t>B+</t>
        </is>
      </c>
    </row>
    <row r="6">
      <c r="A6" s="3" t="inlineStr">
        <is>
          <t>pLU3</t>
        </is>
      </c>
      <c r="B6" s="3" t="inlineStr">
        <is>
          <t>66.05</t>
        </is>
      </c>
      <c r="C6" s="3" t="inlineStr">
        <is>
          <t>C</t>
        </is>
      </c>
    </row>
    <row r="7">
      <c r="A7" s="3" t="inlineStr">
        <is>
          <t>pLU4</t>
        </is>
      </c>
      <c r="B7" s="3" t="inlineStr">
        <is>
          <t>66.05</t>
        </is>
      </c>
      <c r="C7" s="3" t="inlineStr">
        <is>
          <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2.90000000000001" customWidth="1" min="1" max="1"/>
    <col width="59.40000000000001" customWidth="1" min="2" max="2"/>
    <col width="66" customWidth="1" min="3" max="3"/>
    <col width="66" customWidth="1" min="4" max="4"/>
  </cols>
  <sheetData>
    <row r="1">
      <c r="A1" s="6" t="inlineStr">
        <is>
          <t>⚠ 구판 v2.6 데이터 시트 — 원전 대조·채점 오류가 포함되어 있을 수 있음. 2026-10-04 v2.7 개정본 .md 보고서와 'ARI_v3.0'·'B-Check'·'개정이력' 시트가 정본.</t>
        </is>
      </c>
    </row>
    <row r="2">
      <c r="A2" s="1" t="inlineStr">
        <is>
          <t>1. 문헌 스크리닝 표 (Rank 1·2: 핵심 3대 원전 직접 대조)</t>
        </is>
      </c>
    </row>
    <row r="3">
      <c r="A3" s="2" t="inlineStr">
        <is>
          <t>원전</t>
        </is>
      </c>
      <c r="B3" s="2" t="inlineStr">
        <is>
          <t>검색 위치</t>
        </is>
      </c>
      <c r="C3" s="2" t="inlineStr">
        <is>
          <t>천부(LU3)</t>
        </is>
      </c>
      <c r="D3" s="2" t="inlineStr">
        <is>
          <t>협백(LU4)</t>
        </is>
      </c>
    </row>
    <row r="4">
      <c r="A4" s="3" t="inlineStr">
        <is>
          <t>《中国针灸穴位通鉴》</t>
        </is>
      </c>
      <c r="B4" s="3" t="inlineStr">
        <is>
          <t>中国针灸穴位通鉴/chunks_refined/中国针灸穴位通鉴(上卷)_321-400.md</t>
        </is>
      </c>
      <c r="C4" s="3" t="inlineStr">
        <is>
          <t>부위: "在腋下三寸，臂內廉動脈中，手太陰脈氣所發"(《甲乙》3:50). 별명: 无. 자법: "禁不可灸，灸之令人逆氣。刺入四分，留三呼"(《甲乙》). 종합 결어: "历代文献记载基本一致"</t>
        </is>
      </c>
      <c r="D4" s="3" t="inlineStr">
        <is>
          <t>부위: "在天府下去肘五寸動脈中"(《甲乙》3:50). 별명: 无. 귀경: "手太陰之別". 자법: "刺入四分，留三呼，灸七壯"(《甲乙》), "刺入三分，可灸五壯"(《铜人》)</t>
        </is>
      </c>
    </row>
    <row r="5">
      <c r="A5" s="3" t="inlineStr">
        <is>
          <t>《中国针灸证治通鉴》</t>
        </is>
      </c>
      <c r="B5" s="3" t="inlineStr">
        <is>
          <t>中国针灸证治通鉴/chunks_refined/中国针灸证治通鉴_401-480.md</t>
        </is>
      </c>
      <c r="C5" s="3" t="inlineStr">
        <is>
          <t>鼻衄: "暴瘅內逆，肝肺相搏，血溢鼻口，取天府"; 《外台》 "灸兩膊上大脈…以鼻嗅臂" 安語 "此方所取穴即天府穴"; 《百证赋》 "天府合谷，鼻中衄血宜追". 瘿: "瘿恶气，灸天府五十壮" 등</t>
        </is>
      </c>
      <c r="D5" s="3" t="inlineStr">
        <is>
          <t>皮膚: 《古今医统》 "治赤白汗斑，灸夾白穴即愈"(安語 "夾白即肺經侠白穴"); 현대 白癜风 "侠白(點刺出血再行拔火罐)"</t>
        </is>
      </c>
    </row>
    <row r="6">
      <c r="A6" s="3" t="inlineStr">
        <is>
          <t>《针灸腧穴通考》</t>
        </is>
      </c>
      <c r="B6" s="3" t="inlineStr">
        <is>
          <t>针灸腧穴通考/chunks_refined/针灸腧穴通考(上)_81-160.md (L1653~2025)</t>
        </is>
      </c>
      <c r="C6" s="3" t="inlineStr">
        <is>
          <t>명실고: "今之天府已非古之天府". 고대 "臂臑內廉動脈中", 현대 "肱二頭肌橈側緣". 위팔동맥은 위팔두갈래근 안쪽고랑을 따라 내려가므로 "此處已相當於今之手少陰經穴分布區域". 가쪽 모서리 해부학 용어를 처음 쓴 것은 일본 침구서다. 中国 교재는 1957년 南京 《针灸学》·1~2판 《讲义》까지 "臑內廉動脈中"을 유지하다가 4판부터 "肱二頭肌外緣"으로 바꿨다</t>
        </is>
      </c>
      <c r="D6" s="3" t="inlineStr">
        <is>
          <t>명실고: "本穴定位，古今不同". 1판 《讲义》의 "重按有動脈應手"에 대해 "按如今之定位，無論如何重按，也不會觸及動脈搏動". "侠白部位在動脈中，故該穴仍可能由手太陰標脈'天府脈'演變而來". 주치 "心痛" = 胸痹心痛 계열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1.9" customWidth="1" min="1" max="1"/>
    <col width="24.2" customWidth="1" min="2" max="2"/>
    <col width="66" customWidth="1" min="3" max="3"/>
    <col width="12" customWidth="1" min="4" max="4"/>
    <col width="61.60000000000001" customWidth="1" min="5" max="5"/>
  </cols>
  <sheetData>
    <row r="1">
      <c r="A1" s="6" t="inlineStr">
        <is>
          <t>⚠ 구판 v2.6 데이터 시트 — 원전 대조·채점 오류가 포함되어 있을 수 있음. 2026-10-04 v2.7 개정본 .md 보고서와 'ARI_v3.0'·'B-Check'·'개정이력' 시트가 정본.</t>
        </is>
      </c>
    </row>
    <row r="2">
      <c r="A2" s="1" t="inlineStr">
        <is>
          <t>2. 원천 vs 재인용·주석 분리 표 (Rank 3)</t>
        </is>
      </c>
    </row>
    <row r="3">
      <c r="A3" s="2" t="inlineStr">
        <is>
          <t>시기</t>
        </is>
      </c>
      <c r="B3" s="2" t="inlineStr">
        <is>
          <t>문헌</t>
        </is>
      </c>
      <c r="C3" s="2" t="inlineStr">
        <is>
          <t>기술</t>
        </is>
      </c>
      <c r="D3" s="2" t="inlineStr">
        <is>
          <t>판정</t>
        </is>
      </c>
      <c r="E3" s="2" t="inlineStr">
        <is>
          <t>평가</t>
        </is>
      </c>
    </row>
    <row r="4">
      <c r="A4" s="3" t="inlineStr">
        <is>
          <t>선진</t>
        </is>
      </c>
      <c r="B4" s="3" t="inlineStr">
        <is>
          <t>《足臂十一脉灸经》 / 《阴阳十一脉灸经》</t>
        </is>
      </c>
      <c r="C4" s="3" t="inlineStr">
        <is>
          <t>臂太陰脈 "以奏臑內" / 臂鉅陰脈 "出臂內陰"</t>
        </is>
      </c>
      <c r="D4" s="3" t="inlineStr">
        <is>
          <t>1차</t>
        </is>
      </c>
      <c r="E4" s="3" t="inlineStr">
        <is>
          <t>위팔 안쪽 노선. 종착은 心</t>
        </is>
      </c>
    </row>
    <row r="5">
      <c r="A5" s="3" t="inlineStr">
        <is>
          <t>선진·한</t>
        </is>
      </c>
      <c r="B5" s="3" t="inlineStr">
        <is>
          <t>《灵枢·本输》·《寒热病》</t>
        </is>
      </c>
      <c r="C5" s="3" t="inlineStr">
        <is>
          <t>"腋內動脈，手太陰也，名曰天府" / "腋下動脈，臂太陰也，名曰天府…暴瘅內逆，肝肺相搏，血溢鼻口，取天府"</t>
        </is>
      </c>
      <c r="D5" s="3" t="inlineStr">
        <is>
          <t>1차</t>
        </is>
      </c>
      <c r="E5" s="3" t="inlineStr">
        <is>
          <t>天府는 본래 맥명(標脈)이며, 진단 맥후가 주치로 전환됨(황룡상)</t>
        </is>
      </c>
    </row>
    <row r="6">
      <c r="A6" s="3" t="inlineStr">
        <is>
          <t>선진·한</t>
        </is>
      </c>
      <c r="B6" s="3" t="inlineStr">
        <is>
          <t>《灵枢·经脉》</t>
        </is>
      </c>
      <c r="C6" s="3" t="inlineStr">
        <is>
          <t>"下循臑內，行少陰心主之前"</t>
        </is>
      </c>
      <c r="D6" s="3" t="inlineStr">
        <is>
          <t>1차</t>
        </is>
      </c>
      <c r="E6" s="3" t="inlineStr">
        <is>
          <t>해석이 갈림. 송석모는 "內"를 안쪽(medial)으로, 황룡상은 帛書보다 노쪽으로 이동한 단계로 봄</t>
        </is>
      </c>
    </row>
    <row r="7">
      <c r="A7" s="3" t="inlineStr">
        <is>
          <t>진(晉)</t>
        </is>
      </c>
      <c r="B7" s="3" t="inlineStr">
        <is>
          <t>《针灸甲乙经》(=《黄帝明堂经》 계열)</t>
        </is>
      </c>
      <c r="C7" s="3" t="inlineStr">
        <is>
          <t>天府 "腋下三寸，臂臑內廉動脈中…禁不可灸，刺入四分" / 侠白 "在天府下，去肘五寸動脈中，手太陰之別，刺入四分，灸五壯(또는 七壯)"</t>
        </is>
      </c>
      <c r="D7" s="3" t="inlineStr">
        <is>
          <t>1차 (정위 원천)</t>
        </is>
      </c>
      <c r="E7" s="3" t="inlineStr">
        <is>
          <t>위치를 정하는 3요소(방향·거리·범위축소 "動脈中")를 모두 갖춤</t>
        </is>
      </c>
    </row>
    <row r="8">
      <c r="A8" s="3" t="inlineStr">
        <is>
          <t>당</t>
        </is>
      </c>
      <c r="B8" s="3" t="inlineStr">
        <is>
          <t>《外台秘要》 인 《深师方》</t>
        </is>
      </c>
      <c r="C8" s="3" t="inlineStr">
        <is>
          <t>"灸兩臂中脈…以鼻嗅臂，點其鼻所著處是穴"</t>
        </is>
      </c>
      <c r="D8" s="3" t="inlineStr">
        <is>
          <t>1차 (灸方)</t>
        </is>
      </c>
      <c r="E8" s="3" t="inlineStr">
        <is>
          <t>간편취혈법(以鼻取之)의 원출처. 원문은 "臂脈"으로 기재하며 천부라고 명시하지 않음</t>
        </is>
      </c>
    </row>
    <row r="9">
      <c r="A9" s="3" t="inlineStr">
        <is>
          <t>송</t>
        </is>
      </c>
      <c r="B9" s="3" t="inlineStr">
        <is>
          <t>《铜人腧穴针灸图经》</t>
        </is>
      </c>
      <c r="C9" s="3" t="inlineStr">
        <is>
          <t>天府 "在腋下三寸動脈中，以鼻取之…今附刺鼻衄血不止" / 侠白 "針入三分"</t>
        </is>
      </c>
      <c r="D9" s="3" t="inlineStr">
        <is>
          <t>2차</t>
        </is>
      </c>
      <c r="E9" s="3" t="inlineStr">
        <is>
          <t>간편취혈법과 "動脈中"을 함께 기재. 자침 3분이 등장</t>
        </is>
      </c>
    </row>
    <row r="10">
      <c r="A10" s="3" t="inlineStr">
        <is>
          <t>명</t>
        </is>
      </c>
      <c r="B10" s="3" t="inlineStr">
        <is>
          <t>正统仿宋铜人</t>
        </is>
      </c>
      <c r="C10" s="3" t="inlineStr">
        <is>
          <t>天府·侠白·尺泽을 위팔 굽힘면 노쪽에 표시</t>
        </is>
      </c>
      <c r="D10" s="3" t="inlineStr">
        <is>
          <t>2차 (도상)</t>
        </is>
      </c>
      <c r="E10" s="3" t="inlineStr">
        <is>
          <t>문자(동맥중)와 도상(노쪽)이 어긋남. 史素·丘濬·太医院 铜人图는 자쪽에 표시</t>
        </is>
      </c>
    </row>
    <row r="11">
      <c r="A11" s="3" t="inlineStr">
        <is>
          <t>명</t>
        </is>
      </c>
      <c r="B11" s="3" t="inlineStr">
        <is>
          <t>《针灸大成》</t>
        </is>
      </c>
      <c r="C11" s="3" t="inlineStr">
        <is>
          <t>"腋下三寸，肘腕上五寸動脈中，用鼻尖點墨，到處是穴"</t>
        </is>
      </c>
      <c r="D11" s="3" t="inlineStr">
        <is>
          <t>2차</t>
        </is>
      </c>
      <c r="E11" s="3" t="inlineStr">
        <is>
          <t>동맥 기재 유지</t>
        </is>
      </c>
    </row>
    <row r="12">
      <c r="A12" s="3" t="inlineStr">
        <is>
          <t>현대</t>
        </is>
      </c>
      <c r="B12" s="3" t="inlineStr">
        <is>
          <t>中国 统编教材 4판~ / WHO 2008</t>
        </is>
      </c>
      <c r="C12" s="3" t="inlineStr">
        <is>
          <t>"肱二頭肌外緣/橈側緣", "lateral border of the biceps brachii"</t>
        </is>
      </c>
      <c r="D12" s="3" t="inlineStr">
        <is>
          <t>현대 개정</t>
        </is>
      </c>
      <c r="E12" s="3" t="inlineStr">
        <is>
          <t>동맥 기재가 빠짐. 위치만 노쪽으로 확정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4.2" customWidth="1" min="1" max="1"/>
    <col width="12" customWidth="1" min="2" max="2"/>
    <col width="29.7" customWidth="1" min="3" max="3"/>
    <col width="12" customWidth="1" min="4" max="4"/>
    <col width="66" customWidth="1" min="5" max="5"/>
  </cols>
  <sheetData>
    <row r="1">
      <c r="A1" s="6" t="inlineStr">
        <is>
          <t>⚠ 구판 v2.6 데이터 시트 — 원전 대조·채점 오류가 포함되어 있을 수 있음. 2026-10-04 v2.7 개정본 .md 보고서와 'ARI_v3.0'·'B-Check'·'개정이력' 시트가 정본.</t>
        </is>
      </c>
    </row>
    <row r="2">
      <c r="A2" s="1" t="inlineStr">
        <is>
          <t>3. 이명·별칭 검증 표 (Rank 3)</t>
        </is>
      </c>
    </row>
    <row r="3">
      <c r="A3" s="2" t="inlineStr">
        <is>
          <t>코드</t>
        </is>
      </c>
      <c r="B3" s="2" t="inlineStr">
        <is>
          <t>표준명</t>
        </is>
      </c>
      <c r="C3" s="2" t="inlineStr">
        <is>
          <t>KJH DB (경혈명_비교_정리_KJH.xlsx)</t>
        </is>
      </c>
      <c r="D3" s="2" t="inlineStr">
        <is>
          <t>《穴位通鉴》</t>
        </is>
      </c>
      <c r="E3" s="2" t="inlineStr">
        <is>
          <t>판정</t>
        </is>
      </c>
    </row>
    <row r="4">
      <c r="A4" s="3" t="inlineStr">
        <is>
          <t>LU03</t>
        </is>
      </c>
      <c r="B4" s="3" t="inlineStr">
        <is>
          <t>천부 天府</t>
        </is>
      </c>
      <c r="C4" s="3" t="inlineStr">
        <is>
          <t>天會</t>
        </is>
      </c>
      <c r="D4" s="3" t="inlineStr">
        <is>
          <t>别名无</t>
        </is>
      </c>
      <c r="E4" s="3" t="inlineStr">
        <is>
          <t>KJH와 공통교재 데이터셋은 이명 '天會'를 기재하나 《穴位通鉴》은 별명이 없다고 함. 출처 미확인 이명으로 보류. 맥명 "天府"(《灵枢》)와 혈명 "天府"(《明堂》)의 이중성에 주의</t>
        </is>
      </c>
    </row>
    <row r="5">
      <c r="A5" s="3" t="inlineStr">
        <is>
          <t>LU04</t>
        </is>
      </c>
      <c r="B5" s="3" t="inlineStr">
        <is>
          <t>협백 俠白</t>
        </is>
      </c>
      <c r="C5" s="3" t="inlineStr">
        <is>
          <t>–</t>
        </is>
      </c>
      <c r="D5" s="3" t="inlineStr">
        <is>
          <t>别名无</t>
        </is>
      </c>
      <c r="E5" s="3" t="inlineStr">
        <is>
          <t>이명 없음. 표기 변이 "夾白·挾白"(宋 이후)만 있음. 기존 LU4 보고서의 이명 "白雄"은 근거 없음 → 삭제</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66" customWidth="1" min="1" max="1"/>
    <col width="66" customWidth="1" min="2" max="2"/>
    <col width="66" customWidth="1" min="3" max="3"/>
  </cols>
  <sheetData>
    <row r="1">
      <c r="A1" s="6" t="inlineStr">
        <is>
          <t>⚠ 구판 v2.6 데이터 시트 — 원전 대조·채점 오류가 포함되어 있을 수 있음. 2026-10-04 v2.7 개정본 .md 보고서와 'ARI_v3.0'·'B-Check'·'개정이력' 시트가 정본.</t>
        </is>
      </c>
    </row>
    <row r="2">
      <c r="A2" s="1" t="inlineStr">
        <is>
          <t>4. 3D 공간 좌표 및 Layer 1~5 층차 구조 (Rank 5) — 4.1 좌표계와 이원 분기</t>
        </is>
      </c>
    </row>
    <row r="3">
      <c r="A3" s="2" t="inlineStr">
        <is>
          <t>지표</t>
        </is>
      </c>
      <c r="B3" s="2" t="inlineStr">
        <is>
          <t>Target 1: 고전 동맥점 (cLU3 / cLU4)</t>
        </is>
      </c>
      <c r="C3" s="2" t="inlineStr">
        <is>
          <t>Target 2: WHO 정위 (pLU3 / pLU4)</t>
        </is>
      </c>
    </row>
    <row r="4">
      <c r="A4" s="3" t="inlineStr">
        <is>
          <t>체표 정위</t>
        </is>
      </c>
      <c r="B4" s="3" t="inlineStr">
        <is>
          <t>위팔 안쪽면, 위팔두갈래근 안쪽 모서리의 안쪽고랑, 위팔동맥 박동 위. cLU3 = 앞겨드랑주름 아래 3촌, cLU4 = 그 아래 1촌(팔꿈치 위 5촌)</t>
        </is>
      </c>
      <c r="C4" s="3" t="inlineStr">
        <is>
          <t>위팔 앞가쪽면, 위팔두갈래근 가쪽 모서리. pLU3 = 앞겨드랑주름 아래 3촌, pLU4 = 4촌</t>
        </is>
      </c>
    </row>
    <row r="5">
      <c r="A5" s="3" t="inlineStr">
        <is>
          <t>취혈 지표</t>
        </is>
      </c>
      <c r="B5" s="3" t="inlineStr">
        <is>
          <t>"動脈應手". 손바닥을 앞으로 둔 자세에서 안쪽고랑의 맥박을 촉진</t>
        </is>
      </c>
      <c r="C5" s="3" t="inlineStr">
        <is>
          <t>위팔두갈래근 긴갈래의 가쪽 모서리, 노쪽피부정맥 주행선</t>
        </is>
      </c>
    </row>
    <row r="6">
      <c r="A6" s="3" t="inlineStr">
        <is>
          <t>모델 좌표 (기존 비교보고서 값 유지)</t>
        </is>
      </c>
      <c r="B6" s="3" t="inlineStr">
        <is>
          <t>cLU3 (X −14.5, Y 69, Z 18.2) / cLU4 (X −13.2, Y 92, Z 17.5)</t>
        </is>
      </c>
      <c r="C6" s="3" t="inlineStr">
        <is>
          <t>pLU3 (X +13.8, Y 69, Z 12.0) / pLU4 (X +14.5, Y 92, Z 11.5)</t>
        </is>
      </c>
    </row>
    <row r="7">
      <c r="A7" s="3" t="inlineStr">
        <is>
          <t>공간 편차 Δ</t>
        </is>
      </c>
      <c r="B7" s="3" t="inlineStr">
        <is>
          <t>cLU3–pLU3: √(28.3² + 6.2²) ≈ 29.0mm, cLU4–pLU4: √(27.7² + 6.0²) ≈ 28.3mm</t>
        </is>
      </c>
      <c r="C7" s="3" t="inlineStr">
        <is>
          <t>기준점</t>
        </is>
      </c>
    </row>
    <row r="8">
      <c r="A8" s="3" t="inlineStr">
        <is>
          <t>분기 판정</t>
        </is>
      </c>
      <c r="B8" s="3" t="inlineStr">
        <is>
          <t>Δ &gt; 15mm → 이원 분기 확정</t>
        </is>
      </c>
      <c r="C8" s="3" t="inlineStr">
        <is>
          <t>—</t>
        </is>
      </c>
    </row>
    <row r="9"/>
    <row r="10">
      <c r="A10" s="1" t="inlineStr">
        <is>
          <t>4. 3D 공간 좌표 및 Layer 1~5 층차 구조 (Rank 5) — 4.2 Layer 1~5 층차 (프레임워크 v2.6 심도 구간)</t>
        </is>
      </c>
    </row>
    <row r="11">
      <c r="A11" s="2" t="inlineStr">
        <is>
          <t>Layer (심도)</t>
        </is>
      </c>
      <c r="B11" s="2" t="inlineStr">
        <is>
          <t>Target 1: cLU3 / cLU4 (안쪽 동맥점)</t>
        </is>
      </c>
      <c r="C11" s="2" t="inlineStr">
        <is>
          <t>Target 2: pLU3 / pLU4 (가쪽 모서리)</t>
        </is>
      </c>
    </row>
    <row r="12">
      <c r="A12" s="3" t="inlineStr">
        <is>
          <t>L1 피부 (0~3mm)</t>
        </is>
      </c>
      <c r="B12" s="3" t="inlineStr">
        <is>
          <t>안쪽위팔피부신경(T1), 갈비사이위팔신경(T2) 영역</t>
        </is>
      </c>
      <c r="C12" s="3" t="inlineStr">
        <is>
          <t>위가쪽위팔피부신경(겨드랑신경, C5; pLU3 높이), 아래가쪽위팔피부신경(노신경, C5-6; pLU4 높이)</t>
        </is>
      </c>
    </row>
    <row r="13">
      <c r="A13" s="3" t="inlineStr">
        <is>
          <t>L2 피하·얕은근막 (3~8mm)</t>
        </is>
      </c>
      <c r="B13" s="3" t="inlineStr">
        <is>
          <t>피하지방. 자쪽피부정맥은 위팔 중간쯤에서 깊은근막을 뚫음(cLU4 높이 부근)</t>
        </is>
      </c>
      <c r="C13" s="3" t="inlineStr">
        <is>
          <t>노쪽피부정맥(cephalic v.), 가쪽 위팔두갈래근고랑</t>
        </is>
      </c>
    </row>
    <row r="14">
      <c r="A14" s="3" t="inlineStr">
        <is>
          <t>L3 깊은근막·근육 가장자리 (8~16mm)</t>
        </is>
      </c>
      <c r="B14" s="3" t="inlineStr">
        <is>
          <t>깊은근막 바로 아래 신경혈관다발: 위팔동맥·동반정맥, 정중신경(위팔 위쪽에서는 동맥 가쪽, 중간에서 앞으로 교차), 자신경(위쪽에서 동맥 안쪽), 안쪽아래팔피부신경. 체격이 마른 사람은 L2 하단부터 맥박이 촉지됨</t>
        </is>
      </c>
      <c r="C14" s="3" t="inlineStr">
        <is>
          <t>위팔두갈래근 긴갈래 가쪽 근복·운동점</t>
        </is>
      </c>
    </row>
    <row r="15">
      <c r="A15" s="3" t="inlineStr">
        <is>
          <t>L4 심층 (16~22mm)</t>
        </is>
      </c>
      <c r="B15" s="3" t="inlineStr">
        <is>
          <t>부리위팔근(cLU3), 위팔근 안쪽(cLU4), 안쪽 근육사이막</t>
        </is>
      </c>
      <c r="C15" s="3" t="inlineStr">
        <is>
          <t>위팔근 / 근피신경(위팔두갈래근과 위팔근 사이)</t>
        </is>
      </c>
    </row>
    <row r="16">
      <c r="A16" s="3" t="inlineStr">
        <is>
          <t>L5 바닥 (&gt;22mm)</t>
        </is>
      </c>
      <c r="B16" s="3" t="inlineStr">
        <is>
          <t>위팔뼈 안쪽면</t>
        </is>
      </c>
      <c r="C16" s="3" t="inlineStr">
        <is>
          <t>위팔뼈 앞가쪽면</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6.3" customWidth="1" min="1" max="1"/>
    <col width="17.6" customWidth="1" min="2" max="2"/>
    <col width="13.2" customWidth="1" min="3" max="3"/>
    <col width="12" customWidth="1" min="4" max="4"/>
    <col width="28.6" customWidth="1" min="5" max="5"/>
  </cols>
  <sheetData>
    <row r="1">
      <c r="A1" s="6" t="inlineStr">
        <is>
          <t>⚠ 구판 v2.6 데이터 시트 — 원전 대조·채점 오류가 포함되어 있을 수 있음. 2026-10-04 v2.7 개정본 .md 보고서와 'ARI_v3.0'·'B-Check'·'개정이력' 시트가 정본.</t>
        </is>
      </c>
    </row>
    <row r="2">
      <c r="A2" s="1" t="inlineStr">
        <is>
          <t>5. 자침 깊이 계산표 (Rank 5: 1푼 = 2.3mm)</t>
        </is>
      </c>
    </row>
    <row r="3">
      <c r="A3" s="2" t="inlineStr">
        <is>
          <t>문헌</t>
        </is>
      </c>
      <c r="B3" s="2" t="inlineStr">
        <is>
          <t>천부</t>
        </is>
      </c>
      <c r="C3" s="2" t="inlineStr">
        <is>
          <t>협백</t>
        </is>
      </c>
      <c r="D3" s="2" t="inlineStr">
        <is>
          <t>한대 환산 z</t>
        </is>
      </c>
      <c r="E3" s="2" t="inlineStr">
        <is>
          <t>도달 Layer (cLU 기준)</t>
        </is>
      </c>
    </row>
    <row r="4">
      <c r="A4" s="3" t="inlineStr">
        <is>
          <t>《黄帝明堂经》(황룡상 집교)</t>
        </is>
      </c>
      <c r="B4" s="3" t="inlineStr">
        <is>
          <t>4푼, 禁灸</t>
        </is>
      </c>
      <c r="C4" s="3" t="inlineStr">
        <is>
          <t>4푼, 灸五壯</t>
        </is>
      </c>
      <c r="D4" s="3" t="inlineStr">
        <is>
          <t>9.2mm</t>
        </is>
      </c>
      <c r="E4" s="3" t="inlineStr">
        <is>
          <t>L3 상단 = 위팔동맥·정중신경 높이</t>
        </is>
      </c>
    </row>
    <row r="5">
      <c r="A5" s="3" t="inlineStr">
        <is>
          <t>《针灸甲乙经》</t>
        </is>
      </c>
      <c r="B5" s="3" t="inlineStr">
        <is>
          <t>4푼, 留三呼, 禁灸</t>
        </is>
      </c>
      <c r="C5" s="3" t="inlineStr">
        <is>
          <t>4푼, 留三呼, 灸七壯</t>
        </is>
      </c>
      <c r="D5" s="3" t="inlineStr">
        <is>
          <t>9.2mm</t>
        </is>
      </c>
      <c r="E5" s="3" t="inlineStr">
        <is>
          <t>같음</t>
        </is>
      </c>
    </row>
    <row r="6">
      <c r="A6" s="3" t="inlineStr">
        <is>
          <t>《铜人》 / 《东医宝鉴》(인 동인)</t>
        </is>
      </c>
      <c r="B6" s="3" t="inlineStr">
        <is>
          <t>(4푼) / 3푼</t>
        </is>
      </c>
      <c r="C6" s="3" t="inlineStr">
        <is>
          <t>3푼</t>
        </is>
      </c>
      <c r="D6" s="3" t="inlineStr">
        <is>
          <t>6.9mm</t>
        </is>
      </c>
      <c r="E6" s="3" t="inlineStr">
        <is>
          <t>L2 하단</t>
        </is>
      </c>
    </row>
    <row r="7">
      <c r="A7" s="3" t="inlineStr">
        <is>
          <t>《太平圣惠方》</t>
        </is>
      </c>
      <c r="B7" s="3" t="inlineStr">
        <is>
          <t>4푼, 留七呼, 灸二七壯~百壯</t>
        </is>
      </c>
      <c r="C7" s="3" t="inlineStr">
        <is>
          <t>—</t>
        </is>
      </c>
      <c r="D7" s="3" t="inlineStr">
        <is>
          <t>9.2mm</t>
        </is>
      </c>
      <c r="E7" s="3" t="inlineStr">
        <is>
          <t>—</t>
        </is>
      </c>
    </row>
    <row r="8">
      <c r="A8" s="3" t="inlineStr">
        <is>
          <t>경락수혈학·침구의학 공통교재 / 《通考》</t>
        </is>
      </c>
      <c r="B8" s="3" t="inlineStr">
        <is>
          <t>5~10푼</t>
        </is>
      </c>
      <c r="C8" s="3" t="inlineStr">
        <is>
          <t>5~10푼</t>
        </is>
      </c>
      <c r="D8" s="3" t="inlineStr">
        <is>
          <t>11.5~23mm</t>
        </is>
      </c>
      <c r="E8" s="3" t="inlineStr">
        <is>
          <t>(pLU 기준) L3~L4 위팔두갈래근·근피신경</t>
        </is>
      </c>
    </row>
    <row r="9">
      <c r="A9" s="3" t="inlineStr">
        <is>
          <t>침구경험방</t>
        </is>
      </c>
      <c r="B9" s="3" t="inlineStr">
        <is>
          <t>blank (미기술)</t>
        </is>
      </c>
      <c r="C9" s="3" t="inlineStr">
        <is>
          <t>blank</t>
        </is>
      </c>
      <c r="D9" s="3" t="inlineStr">
        <is>
          <t>—</t>
        </is>
      </c>
      <c r="E9" s="3"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3" customWidth="1" min="1" max="1"/>
    <col width="47.3" customWidth="1" min="2" max="2"/>
    <col width="48.40000000000001" customWidth="1" min="3" max="3"/>
    <col width="66" customWidth="1" min="4" max="4"/>
  </cols>
  <sheetData>
    <row r="1">
      <c r="A1" s="6" t="inlineStr">
        <is>
          <t>⚠ 구판 v2.6 데이터 시트 — 원전 대조·채점 오류가 포함되어 있을 수 있음. 2026-10-04 v2.7 개정본 .md 보고서와 'ARI_v3.0'·'B-Check'·'개정이력' 시트가 정본.</t>
        </is>
      </c>
    </row>
    <row r="2">
      <c r="A2" s="1" t="inlineStr">
        <is>
          <t>6. 해부학 구조 교재 비교표 (공통교재 vs 김재효)</t>
        </is>
      </c>
    </row>
    <row r="3">
      <c r="A3" s="2" t="inlineStr">
        <is>
          <t>구분</t>
        </is>
      </c>
      <c r="B3" s="2" t="inlineStr">
        <is>
          <t>《경혈학 공통교재》 데이터셋 (상권 p.40·44)</t>
        </is>
      </c>
      <c r="C3" s="2" t="inlineStr">
        <is>
          <t>김재효 교수 데이터셋</t>
        </is>
      </c>
      <c r="D3" s="2" t="inlineStr">
        <is>
          <t>공통점·차이점 분석</t>
        </is>
      </c>
    </row>
    <row r="4">
      <c r="A4" s="3" t="inlineStr">
        <is>
          <t>근육</t>
        </is>
      </c>
      <c r="B4" s="3" t="inlineStr">
        <is>
          <t>천부·협백 모두 위팔두갈래근</t>
        </is>
      </c>
      <c r="C4" s="3" t="inlineStr">
        <is>
          <t>천부: 어깨세모근, 큰가슴근, 위팔두갈래근 긴갈래 / 협백: 위팔두갈래근 긴갈래</t>
        </is>
      </c>
      <c r="D4" s="3" t="inlineStr">
        <is>
          <t>둘 다 가쪽 정위(pLU)를 전제로 함. 김재효 데이터셋은 천부 높이의 어깨세모근 정지부와 큰가슴근 정지부까지 포함</t>
        </is>
      </c>
    </row>
    <row r="5">
      <c r="A5" s="3" t="inlineStr">
        <is>
          <t>신경</t>
        </is>
      </c>
      <c r="B5" s="3" t="inlineStr">
        <is>
          <t>정중신경, 가쪽아래팔피부신경, 아래가쪽위팔피부신경</t>
        </is>
      </c>
      <c r="C5" s="3" t="inlineStr">
        <is>
          <t>위가쪽위팔피부신경, 근육피부신경, 뒤아래팔피부신경, 등쪽아래팔피부신경(C5-6)</t>
        </is>
      </c>
      <c r="D5" s="3" t="inlineStr">
        <is>
          <t>핵심 차이. 공통교재의 정중신경은 안쪽 동맥점(cLU)의 구조물이다. 김재효 데이터셋은 가쪽 정위와 맞는 근피신경 계열로 일관됨</t>
        </is>
      </c>
    </row>
    <row r="6">
      <c r="A6" s="3" t="inlineStr">
        <is>
          <t>혈관</t>
        </is>
      </c>
      <c r="B6" s="3" t="inlineStr">
        <is>
          <t>위팔동·정맥, 노쪽피부정맥</t>
        </is>
      </c>
      <c r="C6" s="3" t="inlineStr">
        <is>
          <t>노쪽피부정맥</t>
        </is>
      </c>
      <c r="D6" s="3" t="inlineStr">
        <is>
          <t>공통교재의 위팔동·정맥 역시 안쪽 동맥점의 구조물이다. 노쪽피부정맥은 두 교재 공통</t>
        </is>
      </c>
    </row>
    <row r="7">
      <c r="A7" s="3" t="inlineStr">
        <is>
          <t>판정</t>
        </is>
      </c>
      <c r="B7" s="3" t="inlineStr">
        <is>
          <t>혼합형: 가쪽 정위 위에 고전 동맥점의 구조물(정중신경·위팔동맥)이 섞여 있음</t>
        </is>
      </c>
      <c r="C7" s="3" t="inlineStr">
        <is>
          <t>가쪽 정위 일관형</t>
        </is>
      </c>
      <c r="D7" s="3" t="inlineStr">
        <is>
          <t>공통교재의 혼합은 황룡상이 지적한 "부위는 바뀌었는데 층차해부는 고전을 따른다"는 명실분리가 교재 수준에서 재현된 사례다. 《穴位通鉴》에 인용된 1930~40년대 《高等针灸学讲义》·《中华针灸学》의 "循上膊動脈…分布正中神經" 기술이 계승된 것으로 추정됨</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4" customWidth="1" min="1" max="1"/>
    <col width="66" customWidth="1" min="2" max="2"/>
    <col width="66" customWidth="1" min="3" max="3"/>
    <col width="66" customWidth="1" min="4" max="4"/>
  </cols>
  <sheetData>
    <row r="1">
      <c r="A1" s="6" t="inlineStr">
        <is>
          <t>⚠ 구판 v2.6 데이터 시트 — 원전 대조·채점 오류가 포함되어 있을 수 있음. 2026-10-04 v2.7 개정본 .md 보고서와 'ARI_v3.0'·'B-Check'·'개정이력' 시트가 정본.</t>
        </is>
      </c>
    </row>
    <row r="2">
      <c r="A2" s="1" t="inlineStr">
        <is>
          <t>7. 공간 변위 분기 추론 (Dual-Target Bifurcation)</t>
        </is>
      </c>
    </row>
    <row r="3">
      <c r="A3" s="2" t="inlineStr">
        <is>
          <t>쟁점</t>
        </is>
      </c>
      <c r="B3" s="2" t="inlineStr">
        <is>
          <t>송석모(2022)</t>
        </is>
      </c>
      <c r="C3" s="2" t="inlineStr">
        <is>
          <t>황룡상 《针灸腧穴通考》</t>
        </is>
      </c>
      <c r="D3" s="2" t="inlineStr">
        <is>
          <t>본 보고서 판정</t>
        </is>
      </c>
    </row>
    <row r="4">
      <c r="A4" s="3" t="inlineStr">
        <is>
          <t>고전 천부·협백의 실체</t>
        </is>
      </c>
      <c r="B4" s="3" t="inlineStr">
        <is>
          <t>위팔동맥 박동점(안쪽)</t>
        </is>
      </c>
      <c r="C4" s="3" t="inlineStr">
        <is>
          <t>위팔동맥 박동점(안쪽). 오늘날 수소음경 부위에 해당</t>
        </is>
      </c>
      <c r="D4" s="3" t="inlineStr">
        <is>
          <t>일치. 확정</t>
        </is>
      </c>
    </row>
    <row r="5">
      <c r="A5" s="3" t="inlineStr">
        <is>
          <t>《灵枢·经脉》 "下循臑內"</t>
        </is>
      </c>
      <c r="B5" s="3" t="inlineStr">
        <is>
          <t>위팔 안쪽 = 위팔동맥 노선</t>
        </is>
      </c>
      <c r="C5" s="3" t="inlineStr">
        <is>
          <t>帛書보다 노쪽으로 이동한 단계 ("已較…移向上臂橈側"). 혈위 정위는 이를 늦게 따라감</t>
        </is>
      </c>
      <c r="D5" s="3" t="inlineStr">
        <is>
          <t>해석 분기. "行少陰心主之前"이 노쪽 이동을 시사한다는 황룡상의 견해를 배제할 수 없음</t>
        </is>
      </c>
    </row>
    <row r="6">
      <c r="A6" s="3" t="inlineStr">
        <is>
          <t>가쪽으로 바뀐 경위</t>
        </is>
      </c>
      <c r="B6" s="3" t="inlineStr">
        <is>
          <t>20세기 중반 이후. 동맥 기재가 빠지고 간편취혈법(팔을 들어 코끝이 닿는 곳)의 모호성 때문에 오인했다는 추정</t>
        </is>
      </c>
      <c r="C6" s="3" t="inlineStr">
        <is>
          <t>明正统铜人이 이미 굽힘면 노쪽에 표시. 해부학 용어로 "외측연"을 처음 쓴 것은 일본 침구서. 중국 교재는 4판부터</t>
        </is>
      </c>
      <c r="D6" s="3" t="inlineStr">
        <is>
          <t>다원적 경위. 기존 비교보고서의 "1950년대 비묵인비 자세 오인" 단일 원인설은 두 출처 모두 그렇게 단정하지 않으므로 수정함</t>
        </is>
      </c>
    </row>
    <row r="7">
      <c r="A7" s="3" t="inlineStr">
        <is>
          <t>처방</t>
        </is>
      </c>
      <c r="B7" s="3" t="inlineStr">
        <is>
          <t>WHO 위치를 오류로 보고 안쪽 동맥점으로 복원</t>
        </is>
      </c>
      <c r="C7" s="3" t="inlineStr">
        <is>
          <t>현대 위치를 인정하고 주치·자법·층차해부를 새 위치에 맞게 고침 (天府는 비부·상완 국소 위주, 폐 증상은 부차적으로)</t>
        </is>
      </c>
      <c r="D7" s="3" t="inlineStr">
        <is>
          <t>이원 타깃 병존: 고전 주치는 cLU에, 국소 주치는 pLU에 귀속. 표준 개정 여부는 학계 판단 사항으로 남김</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6" customWidth="1" min="1" max="1"/>
    <col width="66" customWidth="1" min="2" max="2"/>
    <col width="66" customWidth="1" min="3" max="3"/>
    <col width="12.1" customWidth="1" min="4" max="4"/>
  </cols>
  <sheetData>
    <row r="1">
      <c r="A1" s="6" t="inlineStr">
        <is>
          <t>⚠ 구판 v2.6 데이터 시트 — 원전 대조·채점 오류가 포함되어 있을 수 있음. 2026-10-04 v2.7 개정본 .md 보고서와 'ARI_v3.0'·'B-Check'·'개정이력' 시트가 정본.</t>
        </is>
      </c>
    </row>
    <row r="2">
      <c r="A2" s="1" t="inlineStr">
        <is>
          <t>8. 생의학적 반사 기전 (Rank 6: Dual-Layer Refinement) — 8.1 Layer A: 마스터 DB 대조 (경혈_생의학_신경반사_마스터DB.json)</t>
        </is>
      </c>
    </row>
    <row r="3">
      <c r="A3" s="2" t="inlineStr">
        <is>
          <t>경혈</t>
        </is>
      </c>
      <c r="B3" s="2" t="inlineStr">
        <is>
          <t>역색인 논문 수</t>
        </is>
      </c>
      <c r="C3" s="2" t="inlineStr">
        <is>
          <t>내용</t>
        </is>
      </c>
      <c r="D3" s="2" t="inlineStr">
        <is>
          <t>실측 생리·임상 논문</t>
        </is>
      </c>
    </row>
    <row r="4">
      <c r="A4" s="3" t="inlineStr">
        <is>
          <t>LU3</t>
        </is>
      </c>
      <c r="B4" s="3" t="inlineStr">
        <is>
          <t>13</t>
        </is>
      </c>
      <c r="C4" s="3" t="inlineStr">
        <is>
          <t>황룡상(1986~2006) 문헌사 연구 7편, 卜彦青(2010), 李素云·黄龙祥(2006), 송석모(2022), 이준무(2001, 수태음경근), 김상범(2014) 등</t>
        </is>
      </c>
      <c r="D4" s="3" t="inlineStr">
        <is>
          <t>0</t>
        </is>
      </c>
    </row>
    <row r="5">
      <c r="A5" s="3" t="inlineStr">
        <is>
          <t>LU4</t>
        </is>
      </c>
      <c r="B5" s="3" t="inlineStr">
        <is>
          <t>1</t>
        </is>
      </c>
      <c r="C5" s="3" t="inlineStr">
        <is>
          <t>송석모(2022)</t>
        </is>
      </c>
      <c r="D5" s="3" t="inlineStr">
        <is>
          <t>0</t>
        </is>
      </c>
    </row>
    <row r="6"/>
    <row r="7">
      <c r="A7" s="1" t="inlineStr">
        <is>
          <t>8. 생의학적 반사 기전 (Rank 6: Dual-Layer Refinement) — 8.2 Layer B: 공인 해부·생리 모델 대조</t>
        </is>
      </c>
    </row>
    <row r="8">
      <c r="A8" s="2" t="inlineStr">
        <is>
          <t>가설</t>
        </is>
      </c>
      <c r="B8" s="2" t="inlineStr">
        <is>
          <t>근거 구조</t>
        </is>
      </c>
      <c r="C8" s="2" t="inlineStr">
        <is>
          <t>정합성 평가</t>
        </is>
      </c>
    </row>
    <row r="9">
      <c r="A9" s="3" t="inlineStr">
        <is>
          <t>H1. cLU4–心痛 (분절 수렴)</t>
        </is>
      </c>
      <c r="B9" s="3" t="inlineStr">
        <is>
          <t>심장 구심섬유는 T1~T4(T5) 척수로 들어간다. 위팔 안쪽 피부(안쪽위팔피부신경 T1, 갈비사이위팔신경 T2)는 협심통 연관통이 퍼지는 대표 부위다(Head zone, 내장-체성 수렴). cLU4 피부층은 이 T1~T2 분절에 속한다</t>
        </is>
      </c>
      <c r="C9" s="3" t="inlineStr">
        <is>
          <t>분절 일치 높음. 고전 "心痛, 侠白主之"와 위팔 안쪽 위치가 해부학적으로 맞아떨어진다. 다만 자극 효과(체성→심장 반사)는 Sato 계열의 분절성 체성-자율신경 반사 모델에서 유추한 가설</t>
        </is>
      </c>
    </row>
    <row r="10">
      <c r="A10" s="3" t="inlineStr">
        <is>
          <t>H2. pLU4–心痛</t>
        </is>
      </c>
      <c r="B10" s="3" t="inlineStr">
        <is>
          <t>가쪽 피부는 C5~C6 분절이다</t>
        </is>
      </c>
      <c r="C10" s="3" t="inlineStr">
        <is>
          <t>분절 불일치. WHO점에 心痛 주치를 그대로 귀속하는 근거가 약하다. 황룡상의 명실분리 지적을 생리학적으로 뒷받침함</t>
        </is>
      </c>
    </row>
    <row r="11">
      <c r="A11" s="3" t="inlineStr">
        <is>
          <t>H3. cLU3–鼻衄</t>
        </is>
      </c>
      <c r="B11" s="3" t="inlineStr">
        <is>
          <t>머리·코점막의 교감신경 절전섬유는 T1~T3 → 위목신경절 → 코점막 혈관수축으로 이어진다. cLU3 피부·혈관주위 구조는 T1~T2 분절과 겹친다</t>
        </is>
      </c>
      <c r="C11" s="3" t="inlineStr">
        <is>
          <t>부분 정합, 가설 수준. 단, 황룡상은 天府의 비뉵·폐 주치가 "天府脈"을 진단(맥후)하던 데서 유래했다고 본다. 즉 자극 효과의 증거라기보다 진단 부위의 병후일 수 있음</t>
        </is>
      </c>
    </row>
    <row r="12">
      <c r="A12" s="3" t="inlineStr">
        <is>
          <t>H4. pLU3/pLU4–상완 국소통</t>
        </is>
      </c>
      <c r="B12" s="3" t="inlineStr">
        <is>
          <t>위팔두갈래근 근막통증유발점, 근피신경 운동점 (Travell &amp; Simons, *Myofascial Pain and Dysfunction*, 서적)</t>
        </is>
      </c>
      <c r="C12" s="3" t="inlineStr">
        <is>
          <t>정합. 국소 효과로는 타당</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8" customWidth="1" min="1" max="1"/>
    <col width="19.8" customWidth="1" min="2" max="2"/>
    <col width="51.7" customWidth="1" min="3" max="3"/>
    <col width="22" customWidth="1" min="4" max="4"/>
    <col width="27.5" customWidth="1" min="5" max="5"/>
  </cols>
  <sheetData>
    <row r="1">
      <c r="A1" s="6" t="inlineStr">
        <is>
          <t>⚠ 구판 v2.6 데이터 시트 — 원전 대조·채점 오류가 포함되어 있을 수 있음. 2026-10-04 v2.7 개정본 .md 보고서와 'ARI_v3.0'·'B-Check'·'개정이력' 시트가 정본.</t>
        </is>
      </c>
    </row>
    <row r="2">
      <c r="A2" s="1" t="inlineStr">
        <is>
          <t>9. 주치증 분리 표 (P_single vs 배오)</t>
        </is>
      </c>
    </row>
    <row r="3">
      <c r="A3" s="2" t="inlineStr">
        <is>
          <t>경혈</t>
        </is>
      </c>
      <c r="B3" s="2" t="inlineStr">
        <is>
          <t>주치</t>
        </is>
      </c>
      <c r="C3" s="2" t="inlineStr">
        <is>
          <t>출전</t>
        </is>
      </c>
      <c r="D3" s="2" t="inlineStr">
        <is>
          <t>구분</t>
        </is>
      </c>
      <c r="E3" s="2" t="inlineStr">
        <is>
          <t>귀속 타깃</t>
        </is>
      </c>
    </row>
    <row r="4">
      <c r="A4" s="3" t="inlineStr">
        <is>
          <t>천부</t>
        </is>
      </c>
      <c r="B4" s="3" t="inlineStr">
        <is>
          <t>鼻衄·血溢鼻口</t>
        </is>
      </c>
      <c r="C4" s="3" t="inlineStr">
        <is>
          <t>《灵枢·寒热病》 "取天府"(단독), 《外台》 臂脈 灸(단독), 《铜人》 "今附刺鼻衄"</t>
        </is>
      </c>
      <c r="D4" s="3" t="inlineStr">
        <is>
          <t>P_single</t>
        </is>
      </c>
      <c r="E4" s="3" t="inlineStr">
        <is>
          <t>cLU3</t>
        </is>
      </c>
    </row>
    <row r="5">
      <c r="A5" s="3" t="inlineStr">
        <is>
          <t>천부</t>
        </is>
      </c>
      <c r="B5" s="3" t="inlineStr">
        <is>
          <t>咳·上氣·喘不得息·逆息不得臥</t>
        </is>
      </c>
      <c r="C5" s="3" t="inlineStr">
        <is>
          <t>《甲乙》 "天府主之"</t>
        </is>
      </c>
      <c r="D5" s="3" t="inlineStr">
        <is>
          <t>P_single</t>
        </is>
      </c>
      <c r="E5" s="3" t="inlineStr">
        <is>
          <t>cLU3</t>
        </is>
      </c>
    </row>
    <row r="6">
      <c r="A6" s="3" t="inlineStr">
        <is>
          <t>천부</t>
        </is>
      </c>
      <c r="B6" s="3" t="inlineStr">
        <is>
          <t>恍惚善忘·嗜臥, 悲泣鬼語, 卒中惡</t>
        </is>
      </c>
      <c r="C6" s="3" t="inlineStr">
        <is>
          <t>《明堂》, 《千金》 佚名明堂 灸方</t>
        </is>
      </c>
      <c r="D6" s="3" t="inlineStr">
        <is>
          <t>P_single (灸)</t>
        </is>
      </c>
      <c r="E6" s="3" t="inlineStr">
        <is>
          <t>cLU3</t>
        </is>
      </c>
    </row>
    <row r="7">
      <c r="A7" s="3" t="inlineStr">
        <is>
          <t>천부</t>
        </is>
      </c>
      <c r="B7" s="3" t="inlineStr">
        <is>
          <t>鼻衄</t>
        </is>
      </c>
      <c r="C7" s="3" t="inlineStr">
        <is>
          <t>《百证赋》 "天府合谷"</t>
        </is>
      </c>
      <c r="D7" s="3" t="inlineStr">
        <is>
          <t>배오</t>
        </is>
      </c>
      <c r="E7" s="3" t="inlineStr">
        <is>
          <t>—</t>
        </is>
      </c>
    </row>
    <row r="8">
      <c r="A8" s="3" t="inlineStr">
        <is>
          <t>천부</t>
        </is>
      </c>
      <c r="B8" s="3" t="inlineStr">
        <is>
          <t>瘿</t>
        </is>
      </c>
      <c r="C8" s="3" t="inlineStr">
        <is>
          <t>《千金翼》 "灸天府五十壯，又灸胸堂百壯", 《聚英》 등은 《资生经》 전록</t>
        </is>
      </c>
      <c r="D8" s="3" t="inlineStr">
        <is>
          <t>배오 / 전록</t>
        </is>
      </c>
      <c r="E8" s="3" t="inlineStr">
        <is>
          <t>—</t>
        </is>
      </c>
    </row>
    <row r="9">
      <c r="A9" s="3" t="inlineStr">
        <is>
          <t>천부</t>
        </is>
      </c>
      <c r="B9" s="3" t="inlineStr">
        <is>
          <t>目疾·瘰疬·紫白癜風</t>
        </is>
      </c>
      <c r="C9" s="3" t="inlineStr">
        <is>
          <t>《圣惠》·窦太师 계열, 《针灸集成》 처방</t>
        </is>
      </c>
      <c r="D9" s="3" t="inlineStr">
        <is>
          <t>후대 증보·배오</t>
        </is>
      </c>
      <c r="E9" s="3" t="inlineStr">
        <is>
          <t>위치 불명 (《通考》: 안쪽·가쪽 판단 불가)</t>
        </is>
      </c>
    </row>
    <row r="10">
      <c r="A10" s="3" t="inlineStr">
        <is>
          <t>천부</t>
        </is>
      </c>
      <c r="B10" s="3" t="inlineStr">
        <is>
          <t>上臂痛·臑痛</t>
        </is>
      </c>
      <c r="C10" s="3" t="inlineStr">
        <is>
          <t>《循经考穴编》, 현대 교재</t>
        </is>
      </c>
      <c r="D10" s="3" t="inlineStr">
        <is>
          <t>P_single (국소)</t>
        </is>
      </c>
      <c r="E10" s="3" t="inlineStr">
        <is>
          <t>pLU3</t>
        </is>
      </c>
    </row>
    <row r="11">
      <c r="A11" s="3" t="inlineStr">
        <is>
          <t>협백</t>
        </is>
      </c>
      <c r="B11" s="3" t="inlineStr">
        <is>
          <t>心痛</t>
        </is>
      </c>
      <c r="C11" s="3" t="inlineStr">
        <is>
          <t>《甲乙》 "心痛，侠白主之"</t>
        </is>
      </c>
      <c r="D11" s="3" t="inlineStr">
        <is>
          <t>P_single</t>
        </is>
      </c>
      <c r="E11" s="3" t="inlineStr">
        <is>
          <t>cLU4</t>
        </is>
      </c>
    </row>
    <row r="12">
      <c r="A12" s="3" t="inlineStr">
        <is>
          <t>협백</t>
        </is>
      </c>
      <c r="B12" s="3" t="inlineStr">
        <is>
          <t>咳·乾嘔·煩滿</t>
        </is>
      </c>
      <c r="C12" s="3" t="inlineStr">
        <is>
          <t>《甲乙》 "侠白主之"</t>
        </is>
      </c>
      <c r="D12" s="3" t="inlineStr">
        <is>
          <t>P_single</t>
        </is>
      </c>
      <c r="E12" s="3" t="inlineStr">
        <is>
          <t>cLU4</t>
        </is>
      </c>
    </row>
    <row r="13">
      <c r="A13" s="3" t="inlineStr">
        <is>
          <t>협백</t>
        </is>
      </c>
      <c r="B13" s="3" t="inlineStr">
        <is>
          <t>心痛短氣</t>
        </is>
      </c>
      <c r="C13" s="3" t="inlineStr">
        <is>
          <t>《千金》 "期門、長強、天突、侠白、中衝主心痛短氣"</t>
        </is>
      </c>
      <c r="D13" s="3" t="inlineStr">
        <is>
          <t>배오 (《通考》: 侠白 원문이 아님)</t>
        </is>
      </c>
      <c r="E13" s="3" t="inlineStr">
        <is>
          <t>—</t>
        </is>
      </c>
    </row>
    <row r="14">
      <c r="A14" s="3" t="inlineStr">
        <is>
          <t>협백</t>
        </is>
      </c>
      <c r="B14" s="3" t="inlineStr">
        <is>
          <t>紫白癜風·赤白汗斑</t>
        </is>
      </c>
      <c r="C14" s="3" t="inlineStr">
        <is>
          <t>《循经考穴编》, 《古今医统》 灸夾白</t>
        </is>
      </c>
      <c r="D14" s="3" t="inlineStr">
        <is>
          <t>후대 증보 (단독 灸)</t>
        </is>
      </c>
      <c r="E14" s="3" t="inlineStr">
        <is>
          <t>불명</t>
        </is>
      </c>
    </row>
    <row r="15">
      <c r="A15" s="3" t="inlineStr">
        <is>
          <t>협백</t>
        </is>
      </c>
      <c r="B15" s="3" t="inlineStr">
        <is>
          <t>上臂痛</t>
        </is>
      </c>
      <c r="C15" s="3" t="inlineStr">
        <is>
          <t>현대 교재</t>
        </is>
      </c>
      <c r="D15" s="3" t="inlineStr">
        <is>
          <t>P_single (국소)</t>
        </is>
      </c>
      <c r="E15" s="3" t="inlineStr">
        <is>
          <t>pLU4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4.2" customWidth="1" min="1" max="1"/>
    <col width="12" customWidth="1" min="2" max="2"/>
    <col width="12" customWidth="1" min="3" max="3"/>
    <col width="12" customWidth="1" min="4" max="4"/>
    <col width="12" customWidth="1" min="5" max="5"/>
    <col width="12" customWidth="1" min="6" max="6"/>
    <col width="12" customWidth="1" min="7" max="7"/>
    <col width="66" customWidth="1" min="8" max="8"/>
  </cols>
  <sheetData>
    <row r="1">
      <c r="A1" s="6" t="inlineStr">
        <is>
          <t>⚠ 구판 v2.6 데이터 시트 — 원전 대조·채점 오류가 포함되어 있을 수 있음. 2026-10-04 v2.7 개정본 .md 보고서와 'ARI_v3.0'·'B-Check'·'개정이력' 시트가 정본.</t>
        </is>
      </c>
    </row>
    <row r="2">
      <c r="A2" s="1" t="inlineStr">
        <is>
          <t>10. ARI 정량 평가표 및 최종 결론</t>
        </is>
      </c>
    </row>
    <row r="3">
      <c r="A3" s="2" t="inlineStr">
        <is>
          <t>타깃</t>
        </is>
      </c>
      <c r="B3" s="2" t="inlineStr">
        <is>
          <t>S_orig</t>
        </is>
      </c>
      <c r="C3" s="2" t="inlineStr">
        <is>
          <t>S_clarity</t>
        </is>
      </c>
      <c r="D3" s="2" t="inlineStr">
        <is>
          <t>S_reflex</t>
        </is>
      </c>
      <c r="E3" s="2" t="inlineStr">
        <is>
          <t>S_safety</t>
        </is>
      </c>
      <c r="F3" s="2" t="inlineStr">
        <is>
          <t>ARI</t>
        </is>
      </c>
      <c r="G3" s="2" t="inlineStr">
        <is>
          <t>등급</t>
        </is>
      </c>
      <c r="H3" s="2" t="inlineStr">
        <is>
          <t>산출 근거</t>
        </is>
      </c>
    </row>
    <row r="4">
      <c r="A4" s="3" t="inlineStr">
        <is>
          <t>cLU3 고전 천부</t>
        </is>
      </c>
      <c r="B4" s="3" t="inlineStr">
        <is>
          <t>95</t>
        </is>
      </c>
      <c r="C4" s="3" t="inlineStr">
        <is>
          <t>90</t>
        </is>
      </c>
      <c r="D4" s="3" t="inlineStr">
        <is>
          <t>60</t>
        </is>
      </c>
      <c r="E4" s="3" t="inlineStr">
        <is>
          <t>70</t>
        </is>
      </c>
      <c r="F4" s="3" t="inlineStr">
        <is>
          <t>82.75</t>
        </is>
      </c>
      <c r="G4" s="3" t="inlineStr">
        <is>
          <t>B+</t>
        </is>
      </c>
      <c r="H4" s="3" t="inlineStr">
        <is>
          <t>《甲乙》·《明堂》 일관, 28/36 문헌이 동맥 기재 / 맥박 지표 명확 / Layer A 0편, H3 가설 / 위팔동맥·정중신경 근접</t>
        </is>
      </c>
    </row>
    <row r="5">
      <c r="A5" s="3" t="inlineStr">
        <is>
          <t>cLU4 고전 협백</t>
        </is>
      </c>
      <c r="B5" s="3" t="inlineStr">
        <is>
          <t>92</t>
        </is>
      </c>
      <c r="C5" s="3" t="inlineStr">
        <is>
          <t>88</t>
        </is>
      </c>
      <c r="D5" s="3" t="inlineStr">
        <is>
          <t>60</t>
        </is>
      </c>
      <c r="E5" s="3" t="inlineStr">
        <is>
          <t>70</t>
        </is>
      </c>
      <c r="F5" s="3" t="inlineStr">
        <is>
          <t>81.10</t>
        </is>
      </c>
      <c r="G5" s="3" t="inlineStr">
        <is>
          <t>B+</t>
        </is>
      </c>
      <c r="H5" s="3" t="inlineStr">
        <is>
          <t>"去肘五寸動脈中" / 천부 기준 의존 / H1 분절 일치이나 실측 없음 / 같음</t>
        </is>
      </c>
    </row>
    <row r="6">
      <c r="A6" s="3" t="inlineStr">
        <is>
          <t>pLU3 WHO 천부</t>
        </is>
      </c>
      <c r="B6" s="3" t="inlineStr">
        <is>
          <t>45</t>
        </is>
      </c>
      <c r="C6" s="3" t="inlineStr">
        <is>
          <t>85</t>
        </is>
      </c>
      <c r="D6" s="3" t="inlineStr">
        <is>
          <t>55</t>
        </is>
      </c>
      <c r="E6" s="3" t="inlineStr">
        <is>
          <t>92</t>
        </is>
      </c>
      <c r="F6" s="3" t="inlineStr">
        <is>
          <t>66.05</t>
        </is>
      </c>
      <c r="G6" s="3" t="inlineStr">
        <is>
          <t>C</t>
        </is>
      </c>
      <c r="H6" s="3" t="inlineStr">
        <is>
          <t>고전 문자 근거 없음(明 铜人 도상만) / 근육 지표 명확, 두 교재 정합 / H4 국소만 / 근육층으로 안전</t>
        </is>
      </c>
    </row>
    <row r="7">
      <c r="A7" s="3" t="inlineStr">
        <is>
          <t>pLU4 WHO 협백</t>
        </is>
      </c>
      <c r="B7" s="3" t="inlineStr">
        <is>
          <t>45</t>
        </is>
      </c>
      <c r="C7" s="3" t="inlineStr">
        <is>
          <t>85</t>
        </is>
      </c>
      <c r="D7" s="3" t="inlineStr">
        <is>
          <t>55</t>
        </is>
      </c>
      <c r="E7" s="3" t="inlineStr">
        <is>
          <t>92</t>
        </is>
      </c>
      <c r="F7" s="3" t="inlineStr">
        <is>
          <t>66.05</t>
        </is>
      </c>
      <c r="G7" s="3" t="inlineStr">
        <is>
          <t>C</t>
        </is>
      </c>
      <c r="H7" s="3" t="inlineStr">
        <is>
          <t>같음</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0.8" customWidth="1" min="1" max="1"/>
    <col width="12" customWidth="1" min="2" max="2"/>
    <col width="51.7" customWidth="1" min="3" max="3"/>
    <col width="56.1" customWidth="1" min="4" max="4"/>
    <col width="25.3" customWidth="1" min="5" max="5"/>
  </cols>
  <sheetData>
    <row r="1">
      <c r="A1" s="6" t="inlineStr">
        <is>
          <t>⚠ 구판 v2.6 데이터 시트 — 원전 대조·채점 오류가 포함되어 있을 수 있음. 2026-10-04 v2.7 개정본 .md 보고서와 'ARI_v3.0'·'B-Check'·'개정이력' 시트가 정본.</t>
        </is>
      </c>
    </row>
    <row r="2">
      <c r="A2" s="1" t="inlineStr">
        <is>
          <t>11. 정정 감사표 (통합 과정에서 바로잡은 사항)</t>
        </is>
      </c>
    </row>
    <row r="3">
      <c r="A3" s="2" t="inlineStr">
        <is>
          <t>#</t>
        </is>
      </c>
      <c r="B3" s="2" t="inlineStr">
        <is>
          <t>원 보고서</t>
        </is>
      </c>
      <c r="C3" s="2" t="inlineStr">
        <is>
          <t>기존 기술</t>
        </is>
      </c>
      <c r="D3" s="2" t="inlineStr">
        <is>
          <t>원전·데이터 대조 결과</t>
        </is>
      </c>
      <c r="E3" s="2" t="inlineStr">
        <is>
          <t>처리</t>
        </is>
      </c>
    </row>
    <row r="4">
      <c r="A4" s="3" t="inlineStr">
        <is>
          <t>:-:</t>
        </is>
      </c>
      <c r="B4" s="3" t="inlineStr">
        <is>
          <t>:---</t>
        </is>
      </c>
      <c r="C4" s="3" t="inlineStr">
        <is>
          <t>:---</t>
        </is>
      </c>
      <c r="D4" s="3" t="inlineStr">
        <is>
          <t>:---</t>
        </is>
      </c>
      <c r="E4" s="3" t="inlineStr">
        <is>
          <t>:---</t>
        </is>
      </c>
    </row>
    <row r="5">
      <c r="A5" s="3" t="inlineStr">
        <is>
          <t>1</t>
        </is>
      </c>
      <c r="B5" s="3" t="inlineStr">
        <is>
          <t>LU03</t>
        </is>
      </c>
      <c r="C5" s="3" t="inlineStr">
        <is>
          <t>Δ ≈ 3mm, 단일 타깃</t>
        </is>
      </c>
      <c r="D5" s="3" t="inlineStr">
        <is>
          <t>《通考》 "今之天府已非古之天府". 안쪽 동맥점과 가쪽 모서리는 Δ ≈ 29mm</t>
        </is>
      </c>
      <c r="E5" s="3" t="inlineStr">
        <is>
          <t>이원 분기로 정정</t>
        </is>
      </c>
    </row>
    <row r="6">
      <c r="A6" s="3" t="inlineStr">
        <is>
          <t>2</t>
        </is>
      </c>
      <c r="B6" s="3" t="inlineStr">
        <is>
          <t>LU03</t>
        </is>
      </c>
      <c r="C6" s="3" t="inlineStr">
        <is>
          <t>자침 "鍼三分 (甲乙經, 千金方)"</t>
        </is>
      </c>
      <c r="D6" s="3" t="inlineStr">
        <is>
          <t>《甲乙》·《明堂》은 "刺入四分，留三呼". 3분은 《铜人》·《医学入门》</t>
        </is>
      </c>
      <c r="E6" s="3" t="inlineStr">
        <is>
          <t>정정</t>
        </is>
      </c>
    </row>
    <row r="7">
      <c r="A7" s="3" t="inlineStr">
        <is>
          <t>3</t>
        </is>
      </c>
      <c r="B7" s="3" t="inlineStr">
        <is>
          <t>LU03</t>
        </is>
      </c>
      <c r="C7" s="3" t="inlineStr">
        <is>
          <t>이명 없음</t>
        </is>
      </c>
      <c r="D7" s="3" t="inlineStr">
        <is>
          <t>KJH DB는 '天會'. 《穴位通鉴》은 无</t>
        </is>
      </c>
      <c r="E7" s="3" t="inlineStr">
        <is>
          <t>이견 병기</t>
        </is>
      </c>
    </row>
    <row r="8">
      <c r="A8" s="3" t="inlineStr">
        <is>
          <t>4</t>
        </is>
      </c>
      <c r="B8" s="3" t="inlineStr">
        <is>
          <t>LU03</t>
        </is>
      </c>
      <c r="C8" s="3" t="inlineStr">
        <is>
          <t>실체 = 가쪽고랑 근피신경 (고전·현대 공통)</t>
        </is>
      </c>
      <c r="D8" s="3" t="inlineStr">
        <is>
          <t>고전 실체는 위팔동맥. 가쪽은 현대점에만 해당</t>
        </is>
      </c>
      <c r="E8" s="3" t="inlineStr">
        <is>
          <t>정정</t>
        </is>
      </c>
    </row>
    <row r="9">
      <c r="A9" s="3" t="inlineStr">
        <is>
          <t>5</t>
        </is>
      </c>
      <c r="B9" s="3" t="inlineStr">
        <is>
          <t>LU03 xlsx</t>
        </is>
      </c>
      <c r="C9" s="3" t="inlineStr">
        <is>
          <t>PMID 8937575 = Lacroix/Lundberg 1996</t>
        </is>
      </c>
      <c r="D9" s="3" t="inlineStr">
        <is>
          <t>실제로는 Chen &amp; Nelson, *Anal Biochem* 1996 (무관)</t>
        </is>
      </c>
      <c r="E9" s="3" t="inlineStr">
        <is>
          <t>삭제</t>
        </is>
      </c>
    </row>
    <row r="10">
      <c r="A10" s="3" t="inlineStr">
        <is>
          <t>6</t>
        </is>
      </c>
      <c r="B10" s="3" t="inlineStr">
        <is>
          <t>LU03 xlsx</t>
        </is>
      </c>
      <c r="C10" s="3" t="inlineStr">
        <is>
          <t>문헌스크리닝 셀에 파싱 원문 덤프(목차 조각) 혼입</t>
        </is>
      </c>
      <c r="D10" s="3" t="inlineStr">
        <is>
          <t>—</t>
        </is>
      </c>
      <c r="E10" s="3" t="inlineStr">
        <is>
          <t>정제된 원문으로 교체</t>
        </is>
      </c>
    </row>
    <row r="11">
      <c r="A11" s="3" t="inlineStr">
        <is>
          <t>7</t>
        </is>
      </c>
      <c r="B11" s="3" t="inlineStr">
        <is>
          <t>LU04</t>
        </is>
      </c>
      <c r="C11" s="3" t="inlineStr">
        <is>
          <t>이명 "白雄"</t>
        </is>
      </c>
      <c r="D11" s="3" t="inlineStr">
        <is>
          <t>KJH '–', 《穴位通鉴》 别名无</t>
        </is>
      </c>
      <c r="E11" s="3" t="inlineStr">
        <is>
          <t>삭제</t>
        </is>
      </c>
    </row>
    <row r="12">
      <c r="A12" s="3" t="inlineStr">
        <is>
          <t>8</t>
        </is>
      </c>
      <c r="B12" s="3" t="inlineStr">
        <is>
          <t>LU04</t>
        </is>
      </c>
      <c r="C12" s="3" t="inlineStr">
        <is>
          <t>《甲乙》 "刺入三分，留五呼"</t>
        </is>
      </c>
      <c r="D12" s="3" t="inlineStr">
        <is>
          <t>《甲乙》 "刺入四分，留三呼，灸七壯". 3분은 《铜人》</t>
        </is>
      </c>
      <c r="E12" s="3" t="inlineStr">
        <is>
          <t>정정</t>
        </is>
      </c>
    </row>
    <row r="13">
      <c r="A13" s="3" t="inlineStr">
        <is>
          <t>9</t>
        </is>
      </c>
      <c r="B13" s="3" t="inlineStr">
        <is>
          <t>LU04</t>
        </is>
      </c>
      <c r="C13" s="3" t="inlineStr">
        <is>
          <t>《通考》 원문 "在天府下一寸, 臂二頭肌動脈處"</t>
        </is>
      </c>
      <c r="D13" s="3" t="inlineStr">
        <is>
          <t>《通考》에 해당 문장 없음</t>
        </is>
      </c>
      <c r="E13" s="3" t="inlineStr">
        <is>
          <t>삭제 (실제 문장으로 교체)</t>
        </is>
      </c>
    </row>
    <row r="14">
      <c r="A14" s="3" t="inlineStr">
        <is>
          <t>10</t>
        </is>
      </c>
      <c r="B14" s="3" t="inlineStr">
        <is>
          <t>LU04</t>
        </is>
      </c>
      <c r="C14" s="3" t="inlineStr">
        <is>
          <t>《영추·본수》 "天府下一寸" (협백)</t>
        </is>
      </c>
      <c r="D14" s="3" t="inlineStr">
        <is>
          <t>《本输》에는 天府(맥명)만 있음. 협백은 《明堂》/《甲乙》이 원출처</t>
        </is>
      </c>
      <c r="E14" s="3" t="inlineStr">
        <is>
          <t>정정</t>
        </is>
      </c>
    </row>
    <row r="15">
      <c r="A15" s="3" t="inlineStr">
        <is>
          <t>11</t>
        </is>
      </c>
      <c r="B15" s="3" t="inlineStr">
        <is>
          <t>LU04</t>
        </is>
      </c>
      <c r="C15" s="3" t="inlineStr">
        <is>
          <t>"22대 Master ASIA Algorithm", Δ &gt; 1.5cm 근거 미기재</t>
        </is>
      </c>
      <c r="D15" s="3" t="inlineStr">
        <is>
          <t>현행 프레임워크는 v2.6 Rank 0~7</t>
        </is>
      </c>
      <c r="E15" s="3" t="inlineStr">
        <is>
          <t>프레임워크 용어로 통일</t>
        </is>
      </c>
    </row>
    <row r="16">
      <c r="A16" s="3" t="inlineStr">
        <is>
          <t>12</t>
        </is>
      </c>
      <c r="B16" s="3" t="inlineStr">
        <is>
          <t>비교분석</t>
        </is>
      </c>
      <c r="C16" s="3" t="inlineStr">
        <is>
          <t>송석모 DOI 10.14406/acu.2022.028, pp.173-183</t>
        </is>
      </c>
      <c r="D16" s="3" t="inlineStr">
        <is>
          <t>논문 원문: 10.14406/acu.2022.024, pp.172-183</t>
        </is>
      </c>
      <c r="E16" s="3" t="inlineStr">
        <is>
          <t>정정</t>
        </is>
      </c>
    </row>
    <row r="17">
      <c r="A17" s="3" t="inlineStr">
        <is>
          <t>13</t>
        </is>
      </c>
      <c r="B17" s="3" t="inlineStr">
        <is>
          <t>비교분석</t>
        </is>
      </c>
      <c r="C17" s="3" t="inlineStr">
        <is>
          <t>1950년대 "비묵인비법 자세 혼동"이 원인 (단정)</t>
        </is>
      </c>
      <c r="D17" s="3" t="inlineStr">
        <is>
          <t>송석모는 간편취혈법 모호성을 추정으로 제시. 황룡상은 明 铜人·일본서·4판 교재의 다원 경위</t>
        </is>
      </c>
      <c r="E17" s="3" t="inlineStr">
        <is>
          <t>정정</t>
        </is>
      </c>
    </row>
    <row r="18">
      <c r="A18" s="3" t="inlineStr">
        <is>
          <t>14</t>
        </is>
      </c>
      <c r="B18" s="3" t="inlineStr">
        <is>
          <t>비교분석</t>
        </is>
      </c>
      <c r="C18" s="3" t="inlineStr">
        <is>
          <t>송석모 논문이 "황룡상 실증주의와 100% 일치"</t>
        </is>
      </c>
      <c r="D18" s="3" t="inlineStr">
        <is>
          <t>진단은 일치하나 처방(복원 vs 주치 개정)은 다름</t>
        </is>
      </c>
      <c r="E18" s="3" t="inlineStr">
        <is>
          <t>정정</t>
        </is>
      </c>
    </row>
    <row r="19">
      <c r="A19" s="3" t="inlineStr">
        <is>
          <t>15</t>
        </is>
      </c>
      <c r="B19" s="3" t="inlineStr">
        <is>
          <t>비교분석</t>
        </is>
      </c>
      <c r="C19" s="3" t="inlineStr">
        <is>
          <t>문헌·공간 타당도 "100%", 생의학 "95%"</t>
        </is>
      </c>
      <c r="D19" s="3" t="inlineStr">
        <is>
          <t>Layer A 실측 0편이므로 정량 백분율의 근거가 없음</t>
        </is>
      </c>
      <c r="E19" s="3" t="inlineStr">
        <is>
          <t>정성 판정으로 대체</t>
        </is>
      </c>
    </row>
    <row r="20">
      <c r="A20" s="3" t="inlineStr">
        <is>
          <t>16</t>
        </is>
      </c>
      <c r="B20" s="3" t="inlineStr">
        <is>
          <t>비교분석</t>
        </is>
      </c>
      <c r="C20" s="3" t="inlineStr">
        <is>
          <t>cLU 자침: "동맥벽을 스치듯이 사침"</t>
        </is>
      </c>
      <c r="D20" s="3" t="inlineStr">
        <is>
          <t>위팔동맥·정중신경 손상 위험</t>
        </is>
      </c>
      <c r="E20" s="3" t="inlineStr">
        <is>
          <t>철회, 안전 수칙으로 대체</t>
        </is>
      </c>
    </row>
    <row r="21">
      <c r="A21" s="3" t="inlineStr">
        <is>
          <t>17</t>
        </is>
      </c>
      <c r="B21" s="3" t="inlineStr">
        <is>
          <t>비교분석</t>
        </is>
      </c>
      <c r="C21" s="3" t="inlineStr">
        <is>
          <t>수식 깨짐(\t·\a 이스케이프: "28.5	ext{mm}", "pprox")</t>
        </is>
      </c>
      <c r="D21" s="3" t="inlineStr">
        <is>
          <t>—</t>
        </is>
      </c>
      <c r="E21" s="3" t="inlineStr">
        <is>
          <t>복구. Δ 28.5 → 29.0mm 재계산</t>
        </is>
      </c>
    </row>
    <row r="22">
      <c r="A22" s="3" t="inlineStr">
        <is>
          <t>18</t>
        </is>
      </c>
      <c r="B22" s="3" t="inlineStr">
        <is>
          <t>전체</t>
        </is>
      </c>
      <c r="C22" s="3" t="inlineStr">
        <is>
          <t>세 보고서 사이 ARI 불일치(92.35 / 95.5·93.0 / 95.9·85.0)</t>
        </is>
      </c>
      <c r="D22" s="3" t="inlineStr">
        <is>
          <t>—</t>
        </is>
      </c>
      <c r="E22" s="3" t="inlineStr">
        <is>
          <t>§10으로 단일화</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6" t="inlineStr">
        <is>
          <t>⚠ 구판 v2.6 데이터 시트 — 원전 대조·채점 오류가 포함되어 있을 수 있음. 2026-10-04 v2.7 개정본 .md 보고서와 'ARI_v3.0'·'B-Check'·'개정이력' 시트가 정본.</t>
        </is>
      </c>
    </row>
    <row r="2">
      <c r="A2" s="4" t="inlineStr">
        <is>
          <t>타깃</t>
        </is>
      </c>
      <c r="B2" s="4" t="inlineStr">
        <is>
          <t>S_orig</t>
        </is>
      </c>
      <c r="C2" s="4" t="inlineStr">
        <is>
          <t>S_clarity</t>
        </is>
      </c>
      <c r="D2" s="4" t="inlineStr">
        <is>
          <t>S_reflex</t>
        </is>
      </c>
      <c r="E2" s="4" t="inlineStr">
        <is>
          <t>S_safety</t>
        </is>
      </c>
      <c r="F2" s="4" t="inlineStr">
        <is>
          <t>ARI(수식)</t>
        </is>
      </c>
    </row>
    <row r="3">
      <c r="A3" t="inlineStr">
        <is>
          <t>cLU3</t>
        </is>
      </c>
      <c r="B3" t="n">
        <v>95</v>
      </c>
      <c r="C3" t="n">
        <v>90</v>
      </c>
      <c r="D3" t="n">
        <v>60</v>
      </c>
      <c r="E3" t="n">
        <v>70</v>
      </c>
      <c r="F3">
        <f>B2*0.35+C2*0.3+D2*0.2+E2*0.15</f>
        <v/>
      </c>
    </row>
    <row r="4">
      <c r="A4" t="inlineStr">
        <is>
          <t>cLU4</t>
        </is>
      </c>
      <c r="B4" t="n">
        <v>92</v>
      </c>
      <c r="C4" t="n">
        <v>88</v>
      </c>
      <c r="D4" t="n">
        <v>60</v>
      </c>
      <c r="E4" t="n">
        <v>70</v>
      </c>
      <c r="F4">
        <f>B3*0.35+C3*0.3+D3*0.2+E3*0.15</f>
        <v/>
      </c>
    </row>
    <row r="5">
      <c r="A5" t="inlineStr">
        <is>
          <t>pLU3</t>
        </is>
      </c>
      <c r="B5" t="n">
        <v>45</v>
      </c>
      <c r="C5" t="n">
        <v>85</v>
      </c>
      <c r="D5" t="n">
        <v>55</v>
      </c>
      <c r="E5" t="n">
        <v>92</v>
      </c>
      <c r="F5">
        <f>B4*0.35+C4*0.3+D4*0.2+E4*0.15</f>
        <v/>
      </c>
    </row>
    <row r="6">
      <c r="A6" t="inlineStr">
        <is>
          <t>pLU4</t>
        </is>
      </c>
      <c r="B6" t="n">
        <v>45</v>
      </c>
      <c r="C6" t="n">
        <v>85</v>
      </c>
      <c r="D6" t="n">
        <v>55</v>
      </c>
      <c r="E6" t="n">
        <v>92</v>
      </c>
      <c r="F6">
        <f>B5*0.35+C5*0.3+D5*0.2+E5*0.15</f>
        <v/>
      </c>
    </row>
    <row r="7"/>
    <row r="8">
      <c r="A8" t="inlineStr">
        <is>
          <t>가중치</t>
        </is>
      </c>
      <c r="B8" t="n">
        <v>0.35</v>
      </c>
      <c r="C8" t="n">
        <v>0.3</v>
      </c>
      <c r="D8" t="n">
        <v>0.2</v>
      </c>
      <c r="E8" t="n">
        <v>0.15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6" t="inlineStr">
        <is>
          <t>⚠ 구판 v2.6 데이터 시트 — 원전 대조·채점 오류가 포함되어 있을 수 있음. 2026-10-04 v2.7 개정본 .md 보고서와 'ARI_v3.0'·'B-Check'·'개정이력' 시트가 정본.</t>
        </is>
      </c>
    </row>
    <row r="2">
      <c r="A2" s="4" t="inlineStr">
        <is>
          <t>쌍</t>
        </is>
      </c>
      <c r="B2" s="4" t="inlineStr">
        <is>
          <t>ΔX(mm)</t>
        </is>
      </c>
      <c r="C2" s="4" t="inlineStr">
        <is>
          <t>ΔZ(mm)</t>
        </is>
      </c>
      <c r="D2" s="4" t="inlineStr">
        <is>
          <t>Δ(mm, 수식)</t>
        </is>
      </c>
      <c r="E2" s="4" t="inlineStr">
        <is>
          <t>판정</t>
        </is>
      </c>
    </row>
    <row r="3">
      <c r="A3" t="inlineStr">
        <is>
          <t>cLU3–pLU3</t>
        </is>
      </c>
      <c r="B3" t="n">
        <v>28.3</v>
      </c>
      <c r="C3" t="n">
        <v>6.2</v>
      </c>
      <c r="D3">
        <f>SQRT(B2^2+C2^2)</f>
        <v/>
      </c>
      <c r="E3">
        <f>IF(D2&gt;15,"이원 분기","단일")</f>
        <v/>
      </c>
    </row>
    <row r="4">
      <c r="A4" t="inlineStr">
        <is>
          <t>cLU4–pLU4</t>
        </is>
      </c>
      <c r="B4" t="n">
        <v>27.7</v>
      </c>
      <c r="C4" t="n">
        <v>6</v>
      </c>
      <c r="D4">
        <f>SQRT(B3^2+C3^2)</f>
        <v/>
      </c>
      <c r="E4">
        <f>IF(D3&gt;15,"이원 분기","단일")</f>
        <v/>
      </c>
    </row>
    <row r="5"/>
    <row r="6">
      <c r="A6" s="4" t="inlineStr">
        <is>
          <t>문헌</t>
        </is>
      </c>
      <c r="B6" s="4" t="inlineStr">
        <is>
          <t>천부(푼)</t>
        </is>
      </c>
      <c r="C6" s="4" t="inlineStr">
        <is>
          <t>협백(푼)</t>
        </is>
      </c>
      <c r="D6" s="4" t="inlineStr">
        <is>
          <t>천부 z(mm)</t>
        </is>
      </c>
      <c r="E6" s="4" t="inlineStr">
        <is>
          <t>협백 z(mm)</t>
        </is>
      </c>
    </row>
    <row r="7">
      <c r="A7" t="inlineStr">
        <is>
          <t>황제명당경</t>
        </is>
      </c>
      <c r="B7" t="n">
        <v>4</v>
      </c>
      <c r="C7" t="n">
        <v>4</v>
      </c>
      <c r="D7">
        <f>B6*2.3</f>
        <v/>
      </c>
      <c r="E7">
        <f>C6*2.3</f>
        <v/>
      </c>
    </row>
    <row r="8">
      <c r="A8" t="inlineStr">
        <is>
          <t>침구갑을경</t>
        </is>
      </c>
      <c r="B8" t="n">
        <v>4</v>
      </c>
      <c r="C8" t="n">
        <v>4</v>
      </c>
      <c r="D8">
        <f>B7*2.3</f>
        <v/>
      </c>
      <c r="E8">
        <f>C7*2.3</f>
        <v/>
      </c>
    </row>
    <row r="9">
      <c r="A9" t="inlineStr">
        <is>
          <t>동의보감(인 동인)</t>
        </is>
      </c>
      <c r="B9" t="n">
        <v>3</v>
      </c>
      <c r="C9" t="n">
        <v>3</v>
      </c>
      <c r="D9">
        <f>B8*2.3</f>
        <v/>
      </c>
      <c r="E9">
        <f>C8*2.3</f>
        <v/>
      </c>
    </row>
    <row r="10">
      <c r="A10" t="inlineStr">
        <is>
          <t>공통교재 최소</t>
        </is>
      </c>
      <c r="B10" t="n">
        <v>5</v>
      </c>
      <c r="C10" t="n">
        <v>5</v>
      </c>
      <c r="D10">
        <f>B9*2.3</f>
        <v/>
      </c>
      <c r="E10">
        <f>C9*2.3</f>
        <v/>
      </c>
    </row>
    <row r="11">
      <c r="A11" t="inlineStr">
        <is>
          <t>공통교재 최대</t>
        </is>
      </c>
      <c r="B11" t="n">
        <v>10</v>
      </c>
      <c r="C11" t="n">
        <v>10</v>
      </c>
      <c r="D11">
        <f>B10*2.3</f>
        <v/>
      </c>
      <c r="E11">
        <f>C10*2.3</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5" t="inlineStr">
        <is>
          <t>Target</t>
        </is>
      </c>
      <c r="B1" s="5" t="inlineStr">
        <is>
          <t>지표</t>
        </is>
      </c>
      <c r="C1" s="5" t="inlineStr">
        <is>
          <t>채점자 A</t>
        </is>
      </c>
      <c r="D1" s="5" t="inlineStr">
        <is>
          <t>채점자 B</t>
        </is>
      </c>
      <c r="E1" s="5" t="inlineStr">
        <is>
          <t>평균/값</t>
        </is>
      </c>
      <c r="F1" s="5" t="inlineStr">
        <is>
          <t>근거 A</t>
        </is>
      </c>
      <c r="G1" s="5" t="inlineStr">
        <is>
          <t>근거 B</t>
        </is>
      </c>
    </row>
    <row r="2">
      <c r="A2" t="inlineStr">
        <is>
          <t>cLU3</t>
        </is>
      </c>
      <c r="B2" t="inlineStr">
        <is>
          <t>S_orig</t>
        </is>
      </c>
      <c r="C2" t="n">
        <v>87.5</v>
      </c>
      <c r="D2" t="n">
        <v>75</v>
      </c>
      <c r="E2" t="n">
        <v>81.25</v>
      </c>
      <c r="F2" t="inlineStr">
        <is>
          <t>① 《灵枢·本输》 '腋内动脉…名曰天府'(맥명)와 한대 《明堂》(=《甲乙》 3:50) '腋下三寸, 臂內廉動脈中…刺入四分, 留三呼'로 위치·심도 모두 명시(穴位通鉴 上卷_321-400 L144·L164). ② 송석모(2022) 집계로 36종 중 28종(78%)이 동맥 위에 기재, 안쪽 기재는 18종 → 60~79% 구간. ③ 맥명 天府/혈명 天府 이중성과 窦太师 '肘腕上五寸' 혼동은 해소했으나 KJH·공통교재의 이명 '天會'는 출처 미확인 보류로 남음. ④ 《通考》(上)_81-160 L1665 '今之天府已非古之天府'와 禁灸의 대맥 근거</t>
        </is>
      </c>
      <c r="G2" t="inlineStr">
        <is>
          <t>① 《灵枢·本输》 '腋內動脈…名曰天府'에 이어 《明堂》(《甲乙》 3:50)이 위치('腋下三寸，臂臑內廉動脈中')와 심도('刺入四分，留三呼')를 함께 지정함을 穴位通鉴(上卷)_321-400 L144·L282, 通考(上)_81-160 L1688~1690에서 확인. ② 穴位通鉴 부위 21개 항목(L170~212)을 인용서 단위로 세면 '動脈' 유지 약 32종 대 '腋下三寸'만 기재 약 12종으로 약 70%대, 송석모 28/36(78%)과도 맞아 60~79% 구간. ③ KJH·2대 교재의 이명 '天會'를 보고서는 '출처 미확인 보류'로만 두</t>
        </is>
      </c>
    </row>
    <row r="3">
      <c r="A3" t="inlineStr">
        <is>
          <t>cLU3</t>
        </is>
      </c>
      <c r="B3" t="inlineStr">
        <is>
          <t>S_clarity</t>
        </is>
      </c>
      <c r="C3" t="n">
        <v>50</v>
      </c>
      <c r="D3" t="n">
        <v>50</v>
      </c>
      <c r="E3" t="n">
        <v>50</v>
      </c>
      <c r="F3" t="inlineStr">
        <is>
          <t>동맥 박동이라는 촉진 지표는 B1(Gray's·Moore·Lumley)에서 안쪽위팔두갈래근고랑의 위팔동맥·정중신경으로 명확히 확인되나, 2대 교재는 모두 WHO 가쪽 정위를 기술하며 공통교재(정중신경·위팔동정맥)와 김재효(근피신경 계열)가 불일치한다. cLU 구조는 공통교재 목록에서 추론으로 대응시킨 것이고 혈위 특이 사체·초음파 실측(PMID)은 Layer A에 없음. 좌표도 모델 추정값.</t>
        </is>
      </c>
      <c r="G3" t="inlineStr">
        <is>
          <t>'動脈應手'는 B1(위팔동맥이 안쪽 위팔두갈래근고랑을 지난다는 규범 해부)로 실체가 분명하다. 그러나 해당 혈위의 사체·초음파·MRI 실측 논문이 Layer A에 없고, 좌표(X −14.5 등)도 모델 추정값이다(보고서 §4.1). 2대 교재는 모두 WHO 가쪽 정위를 전제로 한다. 공통교재(정중신경·위팔동정맥)만 일부 cLU 구조와 맞고 김재효(근피신경·노쪽피부정맥)는 맞지 않아, 교재 불일치를 추론으로 조정한 단계다.</t>
        </is>
      </c>
    </row>
    <row r="4">
      <c r="A4" t="inlineStr">
        <is>
          <t>cLU3</t>
        </is>
      </c>
      <c r="B4" t="inlineStr">
        <is>
          <t>S_reflex</t>
        </is>
      </c>
      <c r="C4" t="n">
        <v>25</v>
      </c>
      <c r="D4" t="n">
        <v>25</v>
      </c>
      <c r="E4" t="n">
        <v>25</v>
      </c>
      <c r="F4" t="inlineStr">
        <is>
          <t>고전 주치(鼻衄·喘咳)에 대한 cLU3 자체의 기전 연구는 Layer A에 없음. pack의 인체 연구(1819·1822·1832·1833)는 WHO 정위 LU3를 포함한 다혈위 어깨 근력 연구로 cLU3·고전 주치와 무관하고, 1827은 교재 주치 기술 논평(비실험), 1676은 PMID 불일치가 보고된 비혈위 특이 생리 문헌. Layer B 유추만 존재 → 25.</t>
        </is>
      </c>
      <c r="G4" t="inlineStr">
        <is>
          <t>LU3 Layer A 가운데 cLU(안쪽 동맥점) 자극을 다룬 기전·인체 연구는 0편이다. 1819·1822·1832·1833(Wang IL 등)은 WHO 정위를 포함한 다혈 병용 연구라 cLU와 무관하고, 1827은 교재 주치 논평, 1828은 HT1 연구다. 1676(비점막 교감 조절)은 PMID 8937575가 실제로는 Chen &amp; Nelson, Anal Biochem 1996임을 eutils로 확인했으며, 경혈 연구도 아니다. 남는 것은 Layer B 유추(H3)뿐이고 B-Check 5/12, ⑤ 근거 없음.</t>
        </is>
      </c>
    </row>
    <row r="5">
      <c r="A5" t="inlineStr">
        <is>
          <t>cLU3</t>
        </is>
      </c>
      <c r="B5" t="inlineStr">
        <is>
          <t>S_safety</t>
        </is>
      </c>
      <c r="C5" t="n">
        <v>50</v>
      </c>
      <c r="D5" t="n">
        <v>50</v>
      </c>
      <c r="E5" t="n">
        <v>50</v>
      </c>
      <c r="F5" t="inlineStr">
        <is>
          <t>자침깊이 DB: 明堂·甲乙 4푼(9.2mm), 동의보감(인 동인) 3푼(6.9mm), 공통교재·《通考》 5~10푼(11.5~23mm); 금침 '0' 없음, 침구경험방 blank(결측). '動脈中' 정위라 직자 시 9.2mm에서 L3 위팔동맥·정중신경 신경혈관다발에 직접 접촉하며, 현대 심도를 적용하면 관통 위험. 고전 문헌은 4푼 상한만 두고 각도 제한은 없음 → 50.</t>
        </is>
      </c>
      <c r="G5" t="inlineStr">
        <is>
          <t>자침깊이 DB LU03: 명당경 4푼(9.2mm), 갑을경 4푼(9.2mm), 동의보감(동인) 3푼(6.9mm), 공통교재·통고 5~10푼(11.5~23mm). 침구경험방은 blank(미기술)이고 '0'(금침) 값은 없다. cLU는 정의상 '動脈中'으로, 위팔동맥·정중신경 다발이 깊은근막 바로 아래(마른 체형은 약 5~10mm)에 있다. 직자하면 고전 4푼에서도 신경혈관속에 직접 닿을 수 있으므로 심도 상한 명시가 필수인 50 구간이다. 고전 문헌에 각도 제한 기재는 없다.</t>
        </is>
      </c>
    </row>
    <row r="6">
      <c r="A6" t="inlineStr">
        <is>
          <t>cLU3</t>
        </is>
      </c>
      <c r="B6" t="inlineStr">
        <is>
          <t>S_orig①최초기술</t>
        </is>
      </c>
      <c r="C6" t="n">
        <v>100</v>
      </c>
      <c r="D6" t="n">
        <v>100</v>
      </c>
      <c r="E6" t="n">
        <v>100</v>
      </c>
    </row>
    <row r="7">
      <c r="A7" t="inlineStr">
        <is>
          <t>cLU3</t>
        </is>
      </c>
      <c r="B7" t="inlineStr">
        <is>
          <t>S_orig②일치율</t>
        </is>
      </c>
      <c r="C7" t="n">
        <v>75</v>
      </c>
      <c r="D7" t="n">
        <v>75</v>
      </c>
      <c r="E7" t="n">
        <v>75</v>
      </c>
    </row>
    <row r="8">
      <c r="A8" t="inlineStr">
        <is>
          <t>cLU3</t>
        </is>
      </c>
      <c r="B8" t="inlineStr">
        <is>
          <t>S_orig③이명</t>
        </is>
      </c>
      <c r="C8" t="n">
        <v>75</v>
      </c>
      <c r="D8" t="n">
        <v>50</v>
      </c>
      <c r="E8" t="n">
        <v>62.5</v>
      </c>
    </row>
    <row r="9">
      <c r="A9" t="inlineStr">
        <is>
          <t>cLU3</t>
        </is>
      </c>
      <c r="B9" t="inlineStr">
        <is>
          <t>S_orig④通考교감</t>
        </is>
      </c>
      <c r="C9" t="n">
        <v>100</v>
      </c>
      <c r="D9" t="n">
        <v>75</v>
      </c>
      <c r="E9" t="n">
        <v>87.5</v>
      </c>
    </row>
    <row r="10">
      <c r="A10" t="inlineStr">
        <is>
          <t>cLU3</t>
        </is>
      </c>
      <c r="B10" t="inlineStr">
        <is>
          <t>게이트</t>
        </is>
      </c>
      <c r="C10" t="inlineStr">
        <is>
          <t>게이트2(경혈 특이 Layer A 0편 → S_reflex ≤ 25, H)</t>
        </is>
      </c>
    </row>
    <row r="11">
      <c r="A11" t="inlineStr">
        <is>
          <t>cLU3</t>
        </is>
      </c>
      <c r="B11" t="inlineStr">
        <is>
          <t>ARI-Core ± 반범위</t>
        </is>
      </c>
      <c r="C11" t="n">
        <v>56.2</v>
      </c>
      <c r="D11" t="n">
        <v>2.5</v>
      </c>
    </row>
    <row r="12">
      <c r="A12" t="inlineStr">
        <is>
          <t>cLU3</t>
        </is>
      </c>
      <c r="B12" t="inlineStr">
        <is>
          <t>등급·표지</t>
        </is>
      </c>
      <c r="C12" t="inlineStr">
        <is>
          <t>C·H</t>
        </is>
      </c>
    </row>
    <row r="13">
      <c r="A13" t="inlineStr">
        <is>
          <t>cLU3</t>
        </is>
      </c>
      <c r="B13" t="inlineStr">
        <is>
          <t>SI</t>
        </is>
      </c>
      <c r="C13" t="n">
        <v>50</v>
      </c>
    </row>
    <row r="14">
      <c r="A14" t="inlineStr">
        <is>
          <t>cLU3</t>
        </is>
      </c>
      <c r="B14" t="inlineStr">
        <is>
          <t>등가중치 민감도</t>
        </is>
      </c>
      <c r="C14" t="n">
        <v>52.1</v>
      </c>
      <c r="D14" t="inlineStr">
        <is>
          <t>D</t>
        </is>
      </c>
      <c r="E14" t="inlineStr">
        <is>
          <t>가중치 민감</t>
        </is>
      </c>
    </row>
    <row r="15">
      <c r="A15" t="inlineStr">
        <is>
          <t>cLU3</t>
        </is>
      </c>
      <c r="B15" t="inlineStr">
        <is>
          <t>조정 기록</t>
        </is>
      </c>
      <c r="C15" t="inlineStr">
        <is>
          <t>15점 이상 불일치 없음. 상충: 《通考》·황룡상의 天府脈 진단 병후 해석(鼻衄 주치가 자극 효과가 아닐 가능성)이 반사 기전 가설과 긴장 → B-Check '가설' 유지. 이명 天會는 《甲乙》 3:46상 天池(PC1)의 이명(채점자 B 확인).</t>
        </is>
      </c>
    </row>
    <row r="16">
      <c r="A16" t="inlineStr">
        <is>
          <t>cLU3</t>
        </is>
      </c>
      <c r="B16" t="inlineStr">
        <is>
          <t>notation</t>
        </is>
      </c>
      <c r="C16" t="inlineStr">
        <is>
          <t>ARI v3.0 | ARI-Core 56.2 ± 2.5 (C·H) | SI 50 | 잠정 가중치 0.40/0.35/0.25 | 민감도(등가중치): 52.1 (D, 등급 변동 → 가중치 민감)</t>
        </is>
      </c>
    </row>
    <row r="17">
      <c r="A17" t="inlineStr">
        <is>
          <t>cLU4</t>
        </is>
      </c>
      <c r="B17" t="inlineStr">
        <is>
          <t>S_orig</t>
        </is>
      </c>
      <c r="C17" t="n">
        <v>93.75</v>
      </c>
      <c r="D17" t="n">
        <v>100</v>
      </c>
      <c r="E17" t="n">
        <v>96.875</v>
      </c>
      <c r="F17" t="inlineStr">
        <is>
          <t>① 한대 《明堂》(=《甲乙》 3:50) '在天府下去肘五寸動脈中…刺入四分'로 위치·심도 명시(穴位通鉴 上卷_321-400 L416). ② 《穴位通鉴》 L510 '历代文献记载基本一致'이나 '天府下二寸'(《中华针灸学》)·'肱二头肌外侧沟'(《新针灸学》) 등 근현대 변이 존재, 동맥 기재 유지율은 천부와 유사한 수준으로 보아 75. ③ 이명 없음(KJH '-', 通鉴 无), 夾白·挾白 표기 변이와 下侠白 구분, 근거 없는 '白雄' 삭제로 완전 분리. ④ 《通考》 '本穴定位，古今不同', 《千金》 心痛短氣 배오의 비원문 판정 등 교감 완결.</t>
        </is>
      </c>
      <c r="G17" t="inlineStr">
        <is>
          <t>① 《甲乙》 3:50(《明堂》 계열)이 '在天府下去肘五寸動脈中' 위치와 '刺入四分，留三呼'(明堂 '刺入四分') 심도를 지정함(穴位通鉴(上卷)_321-400 L394·L416·L546). ② 부위 항목 1에 《千金》부터 《大成》·《类经图翼》까지 20종 이상이 동일 문구로 이어지고, 通鉴 결어도 '历代文献记载基本一致'라고 함(L510). 근대 이후 '肱二頭肌外側沟'만 이탈하므로 고전 기준 ≥ 80%. ③ KJH '–', 2대 교재 이명 공란, 通鉴 '别名无' 모두 일치함. 근거 없는 '白雄'을 삭제했고, 표기 변이 夾白·挾白과 下侠白도</t>
        </is>
      </c>
    </row>
    <row r="18">
      <c r="A18" t="inlineStr">
        <is>
          <t>cLU4</t>
        </is>
      </c>
      <c r="B18" t="inlineStr">
        <is>
          <t>S_clarity</t>
        </is>
      </c>
      <c r="C18" t="n">
        <v>50</v>
      </c>
      <c r="D18" t="n">
        <v>50</v>
      </c>
      <c r="E18" t="n">
        <v>50</v>
      </c>
      <c r="F18" t="inlineStr">
        <is>
          <t>cLU3와 동일: 위팔동맥 박동 지표는 B1으로 확인되나 2대 교재가 cLU4를 기술하지 않고 서로 불일치(공통교재 정중신경·위팔동정맥 vs 김재효 근피신경). 혈위 특이 실측 없음, 천부 기준 의존.</t>
        </is>
      </c>
      <c r="G18" t="inlineStr">
        <is>
          <t>cLU3와 같다. 위팔동맥 박동 지표는 B1으로 명확하지만, 실측 논문이 없고 좌표는 모델값이다. cLU4 높이는 천부 기준과 '去肘五寸'에 의존한다. 2대 교재는 가쪽 정위를 기준으로 하며 서로 불일치한다(공통교재: 정중신경·위팔동정맥 / 김재효: 근피신경).</t>
        </is>
      </c>
    </row>
    <row r="19">
      <c r="A19" t="inlineStr">
        <is>
          <t>cLU4</t>
        </is>
      </c>
      <c r="B19" t="inlineStr">
        <is>
          <t>S_reflex</t>
        </is>
      </c>
      <c r="C19" t="n">
        <v>25</v>
      </c>
      <c r="D19" t="n">
        <v>25</v>
      </c>
      <c r="E19" t="n">
        <v>25</v>
      </c>
      <c r="F19" t="inlineStr">
        <is>
          <t>心痛·煩滿에 대한 cLU4 자체의 Layer A 연구 0편. 1836(견비통 RCT, 다혈위·자극법 비교)과 어깨 근력 연구들은 WHO 정위·국소 적응증이며 다혈위 처방이라 귀속 불가. 분절 수렴(B1·B3)은 명시적이나 기전은 동물 유추 → 25.</t>
        </is>
      </c>
      <c r="G19" t="inlineStr">
        <is>
          <t>LU4 Layer A 11편 가운데 cLU 위치를 자극한 연구는 없다. 1819·1822·1832·1833·1836은 WHO 정위를 포함한 다혈 연구이고, 1838은 종설이다. H1(心痛, T1~T2 분절 수렴)은 Layer B로 분절 정합성이 상대적으로 높으나 Layer A는 0편이다. B-Check 7/12로 미부합.</t>
        </is>
      </c>
    </row>
    <row r="20">
      <c r="A20" t="inlineStr">
        <is>
          <t>cLU4</t>
        </is>
      </c>
      <c r="B20" t="inlineStr">
        <is>
          <t>S_safety</t>
        </is>
      </c>
      <c r="C20" t="n">
        <v>50</v>
      </c>
      <c r="D20" t="n">
        <v>50</v>
      </c>
      <c r="E20" t="n">
        <v>50</v>
      </c>
      <c r="F20" t="inlineStr">
        <is>
          <t>자침깊이 DB 明堂·甲乙 4푼(9.2mm), 동의보감 3푼(6.9mm), 현대 5~10푼(11.5~23mm), 금침 없음. 동맥중 정위로 직자 시 위팔동맥·정중신경(위팔 중간에서 동맥 앞 교차)에 직접 접촉, 고전은 심도 상한만 명시 → 50.</t>
        </is>
      </c>
      <c r="G20" t="inlineStr">
        <is>
          <t>자침깊이 DB LU04: 명당경 4푼(9.2mm), 갑을경 4푼(9.2mm), 동의보감(동인) 3푼(6.9mm), 공통교재·통고 5~10푼(11.5~23mm). 침구경험방은 blank이고 금침 '0'은 없다. 위팔 중간 높이에서 위팔동맥과 정중신경은 바로 붙어 있고(정중신경이 동맥 앞을 교차), 이를 직자하면 직접 접촉할 수 있다. 심도 상한 명시가 필수다.</t>
        </is>
      </c>
    </row>
    <row r="21">
      <c r="A21" t="inlineStr">
        <is>
          <t>cLU4</t>
        </is>
      </c>
      <c r="B21" t="inlineStr">
        <is>
          <t>S_orig①최초기술</t>
        </is>
      </c>
      <c r="C21" t="n">
        <v>100</v>
      </c>
      <c r="D21" t="n">
        <v>100</v>
      </c>
      <c r="E21" t="n">
        <v>100</v>
      </c>
    </row>
    <row r="22">
      <c r="A22" t="inlineStr">
        <is>
          <t>cLU4</t>
        </is>
      </c>
      <c r="B22" t="inlineStr">
        <is>
          <t>S_orig②일치율</t>
        </is>
      </c>
      <c r="C22" t="n">
        <v>75</v>
      </c>
      <c r="D22" t="n">
        <v>100</v>
      </c>
      <c r="E22" t="n">
        <v>87.5</v>
      </c>
    </row>
    <row r="23">
      <c r="A23" t="inlineStr">
        <is>
          <t>cLU4</t>
        </is>
      </c>
      <c r="B23" t="inlineStr">
        <is>
          <t>S_orig③이명</t>
        </is>
      </c>
      <c r="C23" t="n">
        <v>100</v>
      </c>
      <c r="D23" t="n">
        <v>100</v>
      </c>
      <c r="E23" t="n">
        <v>100</v>
      </c>
    </row>
    <row r="24">
      <c r="A24" t="inlineStr">
        <is>
          <t>cLU4</t>
        </is>
      </c>
      <c r="B24" t="inlineStr">
        <is>
          <t>S_orig④通考교감</t>
        </is>
      </c>
      <c r="C24" t="n">
        <v>100</v>
      </c>
      <c r="D24" t="n">
        <v>100</v>
      </c>
      <c r="E24" t="n">
        <v>100</v>
      </c>
    </row>
    <row r="25">
      <c r="A25" t="inlineStr">
        <is>
          <t>cLU4</t>
        </is>
      </c>
      <c r="B25" t="inlineStr">
        <is>
          <t>게이트</t>
        </is>
      </c>
      <c r="C25" t="inlineStr">
        <is>
          <t>게이트2(경혈 특이 Layer A 0편 → S_reflex ≤ 25, H)</t>
        </is>
      </c>
    </row>
    <row r="26">
      <c r="A26" t="inlineStr">
        <is>
          <t>cLU4</t>
        </is>
      </c>
      <c r="B26" t="inlineStr">
        <is>
          <t>ARI-Core ± 반범위</t>
        </is>
      </c>
      <c r="C26" t="n">
        <v>62.5</v>
      </c>
      <c r="D26" t="n">
        <v>1.2</v>
      </c>
    </row>
    <row r="27">
      <c r="A27" t="inlineStr">
        <is>
          <t>cLU4</t>
        </is>
      </c>
      <c r="B27" t="inlineStr">
        <is>
          <t>등급·표지</t>
        </is>
      </c>
      <c r="C27" t="inlineStr">
        <is>
          <t>C·H</t>
        </is>
      </c>
    </row>
    <row r="28">
      <c r="A28" t="inlineStr">
        <is>
          <t>cLU4</t>
        </is>
      </c>
      <c r="B28" t="inlineStr">
        <is>
          <t>SI</t>
        </is>
      </c>
      <c r="C28" t="n">
        <v>50</v>
      </c>
    </row>
    <row r="29">
      <c r="A29" t="inlineStr">
        <is>
          <t>cLU4</t>
        </is>
      </c>
      <c r="B29" t="inlineStr">
        <is>
          <t>등가중치 민감도</t>
        </is>
      </c>
      <c r="C29" t="n">
        <v>57.3</v>
      </c>
      <c r="D29" t="inlineStr">
        <is>
          <t>C</t>
        </is>
      </c>
      <c r="E29" t="inlineStr">
        <is>
          <t>등급 불변</t>
        </is>
      </c>
    </row>
    <row r="30">
      <c r="A30" t="inlineStr">
        <is>
          <t>cLU4</t>
        </is>
      </c>
      <c r="B30" t="inlineStr">
        <is>
          <t>조정 기록</t>
        </is>
      </c>
      <c r="C30" t="inlineStr">
        <is>
          <t>15점 이상 불일치 없음.</t>
        </is>
      </c>
    </row>
    <row r="31">
      <c r="A31" t="inlineStr">
        <is>
          <t>cLU4</t>
        </is>
      </c>
      <c r="B31" t="inlineStr">
        <is>
          <t>notation</t>
        </is>
      </c>
      <c r="C31" t="inlineStr">
        <is>
          <t>ARI v3.0 | ARI-Core 62.5 ± 1.2 (C·H) | SI 50 | 잠정 가중치 0.40/0.35/0.25 | 민감도(등가중치): 57.3 (C, 등급 불변)</t>
        </is>
      </c>
    </row>
    <row r="32">
      <c r="A32" t="inlineStr">
        <is>
          <t>pLU3</t>
        </is>
      </c>
      <c r="B32" t="inlineStr">
        <is>
          <t>S_orig</t>
        </is>
      </c>
      <c r="C32" t="n">
        <v>43.75</v>
      </c>
      <c r="D32" t="n">
        <v>43.75</v>
      </c>
      <c r="E32" t="n">
        <v>43.75</v>
      </c>
      <c r="F32" t="inlineStr">
        <is>
          <t>① 가쪽 정위는 고전 문자 근거가 없고 明 正统仿宋铜人 도상·일본 침구서·중국 교재 4판 이후 기술만 존재(보고서 §2, 《通考》(上)_81-160). ② 36종 중 28종이 동맥(안쪽) 기재로 가쪽 정위와의 일치율 &lt; 40%. ③ 같은 이름의 다른 장소(명실분리) 혼용을 이원 분기로 해소, 이명 天會는 보류. ④ 《通考》는 변위 경위를 기술하나 현대 위치를 수용하며 변위 원인(铜人 도상·간편취혈법·일본서)은 다원적 추정에 머물러 교정 근거 불충분.</t>
        </is>
      </c>
      <c r="G32" t="inlineStr">
        <is>
          <t>① 가쪽 정위를 문자로 처음 기술한 것은 근대 일본 침구서와 中国 4판 《针灸学》 이후이고, 明 正统铜人의 노쪽 표시도 송 이후 도상이다(通考(上)_81-160 L1699·L1740·L1756). ② 고전 문헌 대다수가 '內廉動脈中'이라 이 정위와 일치하는 비율은 40% 미만이다. ③ 이명 '天會'가 天池(PC1) 이명이라는 점을 식별하지 못함(cLU3과 같은 문제). ④ 《通考》가 가쪽 이동 경위(铜人 도상 → 일본서 → 4판 교재)와 '禁灸' 맥락을 상세히 교감했으나, 이는 전사 오류 교정이라기보다 정위 변천 해명이어서 75.</t>
        </is>
      </c>
    </row>
    <row r="33">
      <c r="A33" t="inlineStr">
        <is>
          <t>pLU3</t>
        </is>
      </c>
      <c r="B33" t="inlineStr">
        <is>
          <t>S_clarity</t>
        </is>
      </c>
      <c r="C33" t="n">
        <v>50</v>
      </c>
      <c r="D33" t="n">
        <v>50</v>
      </c>
      <c r="E33" t="n">
        <v>50</v>
      </c>
      <c r="F33" t="inlineStr">
        <is>
          <t>위팔두갈래근 가쪽 모서리라는 근육 지표는 명확하고 두 교재가 위팔두갈래근·노쪽피부정맥에서는 일치하나, 신경·혈관 목록은 공통교재(정중신경·위팔동정맥, 안쪽 구조) vs 김재효(근피신경·위가쪽위팔피부신경)로 불일치하여 보고서가 명실분리 추론으로 조정함. 혈위 특이 실측 없음. §10의 '두 교재 정합' 서술은 §6과 모순.</t>
        </is>
      </c>
      <c r="G33" t="inlineStr">
        <is>
          <t>위팔두갈래근 가쪽 모서리는 체표 지표로 명확하나 실측 논문이 없다. 2대 교재가 불일치한다. 공통교재(상권 p.40)는 정중신경·위팔동정맥을 열거하여 가쪽 정위와 모순되고, 김재효는 근피신경·노쪽피부정맥으로 가쪽 정위와 일관된다. 보고서 §6이 이를 추론으로 조정했다.</t>
        </is>
      </c>
    </row>
    <row r="34">
      <c r="A34" t="inlineStr">
        <is>
          <t>pLU3</t>
        </is>
      </c>
      <c r="B34" t="inlineStr">
        <is>
          <t>S_reflex</t>
        </is>
      </c>
      <c r="C34" t="n">
        <v>25</v>
      </c>
      <c r="D34" t="n">
        <v>25</v>
      </c>
      <c r="E34" t="n">
        <v>25</v>
      </c>
      <c r="F34" t="inlineStr">
        <is>
          <t>Layer A에 LU3을 포함한 인체 생리 연구 4편(1819·1822·1832·1833: 건강인 어깨 등속성 근력·EMG, 7~11혈 동시 자침, 대조군 없는 전후 비교)과 교재 논평 1827이 있으나 모두 다혈위 처방이라 pLU3 자체의 기전으로 귀속할 수 없고 국소 통증 주치와도 결과지표가 다름 → 혈위 특이 0편으로 보고 25. 다혈위 인체 연구를 인정하면 50까지 논쟁 여지.</t>
        </is>
      </c>
      <c r="G34" t="inlineStr">
        <is>
          <t>Layer A에 WHO 천부를 포함해 자침한 인체 생리실험 4편(papers.id 1819·1822·1832·1833; Wang IL 등, 등속성 근력·EMG, 사전-사후, 대조군 없음, 7~11혈 병용)이 있다. LU3 단독 효과로 귀속할 수 없고 STRICTA 수준 RCT도 아니다. 1827은 문헌 논평이라 제외. 국소 근육 효과(H4)에 대한 약한 인체 근거로만 인정하며, B-Check 7/12라 75 조건(≥ 8)에 미달한다. 보고서의 'Layer A 0편' 서술은 2026-10-04 동기화 이전 상태다.</t>
        </is>
      </c>
    </row>
    <row r="35">
      <c r="A35" t="inlineStr">
        <is>
          <t>pLU3</t>
        </is>
      </c>
      <c r="B35" t="inlineStr">
        <is>
          <t>S_safety</t>
        </is>
      </c>
      <c r="C35" t="n">
        <v>75</v>
      </c>
      <c r="D35" t="n">
        <v>75</v>
      </c>
      <c r="E35" t="n">
        <v>75</v>
      </c>
      <c r="F35" t="inlineStr">
        <is>
          <t>현대 5~10푼(11.5~23mm) 직자 시 위팔두갈래근 내 L3에 머물다 하한에서 위팔두갈래근–위팔근 사이 근피신경(L4)에 도달 가능. 노쪽피부정맥은 표재에서 회피 가능, 위팔동맥은 약 28mm 안쪽으로 여유 ≥ 10mm, 심부 장기 없음. 고전 4푼(9.2mm)은 L2~L3. 금침 문헌 없음.</t>
        </is>
      </c>
      <c r="G35" t="inlineStr">
        <is>
          <t>자침깊이 DB LU03 현대 교재·통고 5~10푼 = 11.5~23mm, 고전 4푼 = 9.2mm이고 금침 '0'은 없다. 가쪽 모서리에서는 표층에 노쪽피부정맥이 있고, 약 15~25mm에 위팔두갈래근과 위팔근 사이를 지나는 근피신경이 있어 최대 심도에서 닿을 수 있다. 위팔동맥은 안쪽으로 약 25mm 이상 떨어져 있다. 사자나 심도 조절로 피할 수 있다.</t>
        </is>
      </c>
    </row>
    <row r="36">
      <c r="A36" t="inlineStr">
        <is>
          <t>pLU3</t>
        </is>
      </c>
      <c r="B36" t="inlineStr">
        <is>
          <t>S_orig①최초기술</t>
        </is>
      </c>
      <c r="C36" t="n">
        <v>25</v>
      </c>
      <c r="D36" t="n">
        <v>25</v>
      </c>
      <c r="E36" t="n">
        <v>25</v>
      </c>
    </row>
    <row r="37">
      <c r="A37" t="inlineStr">
        <is>
          <t>pLU3</t>
        </is>
      </c>
      <c r="B37" t="inlineStr">
        <is>
          <t>S_orig②일치율</t>
        </is>
      </c>
      <c r="C37" t="n">
        <v>25</v>
      </c>
      <c r="D37" t="n">
        <v>25</v>
      </c>
      <c r="E37" t="n">
        <v>25</v>
      </c>
    </row>
    <row r="38">
      <c r="A38" t="inlineStr">
        <is>
          <t>pLU3</t>
        </is>
      </c>
      <c r="B38" t="inlineStr">
        <is>
          <t>S_orig③이명</t>
        </is>
      </c>
      <c r="C38" t="n">
        <v>75</v>
      </c>
      <c r="D38" t="n">
        <v>50</v>
      </c>
      <c r="E38" t="n">
        <v>62.5</v>
      </c>
    </row>
    <row r="39">
      <c r="A39" t="inlineStr">
        <is>
          <t>pLU3</t>
        </is>
      </c>
      <c r="B39" t="inlineStr">
        <is>
          <t>S_orig④通考교감</t>
        </is>
      </c>
      <c r="C39" t="n">
        <v>50</v>
      </c>
      <c r="D39" t="n">
        <v>75</v>
      </c>
      <c r="E39" t="n">
        <v>62.5</v>
      </c>
    </row>
    <row r="40">
      <c r="A40" t="inlineStr">
        <is>
          <t>pLU3</t>
        </is>
      </c>
      <c r="B40" t="inlineStr">
        <is>
          <t>게이트</t>
        </is>
      </c>
      <c r="C40" t="inlineStr">
        <is>
          <t>게이트1(S_orig 또는 S_clarity &lt; 50 → 최고 C) / 게이트2(경혈 특이 Layer A 0편 → S_reflex ≤ 25, H)</t>
        </is>
      </c>
    </row>
    <row r="41">
      <c r="A41" t="inlineStr">
        <is>
          <t>pLU3</t>
        </is>
      </c>
      <c r="B41" t="inlineStr">
        <is>
          <t>ARI-Core ± 반범위</t>
        </is>
      </c>
      <c r="C41" t="n">
        <v>41.2</v>
      </c>
      <c r="D41" t="n">
        <v>0</v>
      </c>
    </row>
    <row r="42">
      <c r="A42" t="inlineStr">
        <is>
          <t>pLU3</t>
        </is>
      </c>
      <c r="B42" t="inlineStr">
        <is>
          <t>등급·표지</t>
        </is>
      </c>
      <c r="C42" t="inlineStr">
        <is>
          <t>D·H</t>
        </is>
      </c>
    </row>
    <row r="43">
      <c r="A43" t="inlineStr">
        <is>
          <t>pLU3</t>
        </is>
      </c>
      <c r="B43" t="inlineStr">
        <is>
          <t>SI</t>
        </is>
      </c>
      <c r="C43" t="n">
        <v>75</v>
      </c>
    </row>
    <row r="44">
      <c r="A44" t="inlineStr">
        <is>
          <t>pLU3</t>
        </is>
      </c>
      <c r="B44" t="inlineStr">
        <is>
          <t>등가중치 민감도</t>
        </is>
      </c>
      <c r="C44" t="n">
        <v>39.6</v>
      </c>
      <c r="D44" t="inlineStr">
        <is>
          <t>D</t>
        </is>
      </c>
      <c r="E44" t="inlineStr">
        <is>
          <t>등급 불변</t>
        </is>
      </c>
    </row>
    <row r="45">
      <c r="A45" t="inlineStr">
        <is>
          <t>pLU3</t>
        </is>
      </c>
      <c r="B45" t="inlineStr">
        <is>
          <t>조정 기록</t>
        </is>
      </c>
      <c r="C45" t="inlineStr">
        <is>
          <t>S_reflex 25점 불일치(A 25 / B 50): Layer A의 WHO 천부 포함 인체 연구(papers.id 1819·1822·1832·1833)는 7~11혈 병용·비대조 연구로 채점자 B 스스로 경혈 특이 근거가 아니라고 기록함. 정본 Rank 7 게이트 2(경혈 특이 Layer A 0편 → S_reflex ≤ 25) 적용 → B를 25로 조정. 상충(고전 鼻衄·喘咳 주치 vs C5~6 분절) 유지 → B-Check '가설'.</t>
        </is>
      </c>
    </row>
    <row r="46">
      <c r="A46" t="inlineStr">
        <is>
          <t>pLU3</t>
        </is>
      </c>
      <c r="B46" t="inlineStr">
        <is>
          <t>notation</t>
        </is>
      </c>
      <c r="C46" t="inlineStr">
        <is>
          <t>ARI v3.0 | ARI-Core 41.2 ± 0 (D·H) | SI 75 | 잠정 가중치 0.40/0.35/0.25 | 민감도(등가중치): 39.6 (D, 등급 불변)</t>
        </is>
      </c>
    </row>
    <row r="47">
      <c r="A47" t="inlineStr">
        <is>
          <t>pLU4</t>
        </is>
      </c>
      <c r="B47" t="inlineStr">
        <is>
          <t>S_orig</t>
        </is>
      </c>
      <c r="C47" t="n">
        <v>43.75</v>
      </c>
      <c r="D47" t="n">
        <v>56.25</v>
      </c>
      <c r="E47" t="n">
        <v>50</v>
      </c>
      <c r="F47" t="inlineStr">
        <is>
          <t>① 가쪽 정위 근거는 明 铜人 도상과 근현대 문헌(《新针灸学》 '肱二头肌外侧沟', 穴位通鉴 L434)뿐. ② 역대 문헌 대다수가 '動脈中' 유지로 가쪽 일치율 &lt; 40%. ③ 이명은 없으나 동명이위(명실분리) 혼용을 분기로 해소. ④ 《通考》 '按如今之定位，無論如何重按，也不會觸及動脈搏動'으로 변위는 지적했으나 교정 근거는 불충분.</t>
        </is>
      </c>
      <c r="G47" t="inlineStr">
        <is>
          <t>① 가쪽 정위는 《新针灸学》 '肱二頭肌外側沟', 《针灸学简编》 등 근대 문헌과 明 铜人 도상에서만 나온다(穴位通鉴(上卷)_321-400 L434·L438, 通考(上)_81-160 L1942). ② 고전 다수 문헌은 '動脈中'이라 일치율이 40% 미만이다. 通考 '按如今之定位，無論如何重按，也不會觸及動脈搏動'(L1952). ③ 이명이 없고 KJH '–'와 일치하며, 白雄을 삭제했고 下侠白과 구분함. ④ 《通考》가 정위 변천과 '天府下二寸' 변이를 해명함(75).</t>
        </is>
      </c>
    </row>
    <row r="48">
      <c r="A48" t="inlineStr">
        <is>
          <t>pLU4</t>
        </is>
      </c>
      <c r="B48" t="inlineStr">
        <is>
          <t>S_clarity</t>
        </is>
      </c>
      <c r="C48" t="n">
        <v>50</v>
      </c>
      <c r="D48" t="n">
        <v>50</v>
      </c>
      <c r="E48" t="n">
        <v>50</v>
      </c>
      <c r="F48" t="inlineStr">
        <is>
          <t>pLU3와 동일: 근육 지표는 명확, 두 교재가 근육·노쪽피부정맥은 일치하나 신경·혈관(정중신경·위팔동정맥 vs 근피신경) 불일치를 추론으로 조정. 실측 없음.</t>
        </is>
      </c>
      <c r="G48" t="inlineStr">
        <is>
          <t>pLU3과 같다. 2대 교재가 불일치하고(공통교재 p.44: 정중신경·위팔동정맥 / 김재효: 근피신경) 실측 논문이 없다.</t>
        </is>
      </c>
    </row>
    <row r="49">
      <c r="A49" t="inlineStr">
        <is>
          <t>pLU4</t>
        </is>
      </c>
      <c r="B49" t="inlineStr">
        <is>
          <t>S_reflex</t>
        </is>
      </c>
      <c r="C49" t="n">
        <v>25</v>
      </c>
      <c r="D49" t="n">
        <v>25</v>
      </c>
      <c r="E49" t="n">
        <v>25</v>
      </c>
      <c r="F49" t="inlineStr">
        <is>
          <t>LU4 포함 인체 연구 5편(1819·1822·1832·1833 어깨 근력, 1836 견비통 RCT: 8혈 동일 처방에서 EA·TENS·지압 비교)이 있으나 모두 다혈위로 pLU4 자체 효과·기전을 분리할 수 없음 → 혈위 특이 0편, 25. 1838은 종설로 불산입.</t>
        </is>
      </c>
      <c r="G49" t="inlineStr">
        <is>
          <t>WHO 협백을 포함한 인체 연구가 있다. 1819·1822·1832·1833은 사전-사후 다혈 병용 연구이고, 1836(견관절주위염, EA·TENS·지압 비교 무작위)은 LU4가 처방에 들어갔을 가능성이 있는 다혈 연구다. 단독 귀속은 불가하고 B-Check 7/12다. 1829·1837은 소화기 다혈 처방으로 관련성이 낮고, 1838은 종설이라 제외.</t>
        </is>
      </c>
    </row>
    <row r="50">
      <c r="A50" t="inlineStr">
        <is>
          <t>pLU4</t>
        </is>
      </c>
      <c r="B50" t="inlineStr">
        <is>
          <t>S_safety</t>
        </is>
      </c>
      <c r="C50" t="n">
        <v>75</v>
      </c>
      <c r="D50" t="n">
        <v>75</v>
      </c>
      <c r="E50" t="n">
        <v>75</v>
      </c>
      <c r="F50" t="inlineStr">
        <is>
          <t>pLU3와 동일: 5~10푼(11.5~23mm) 직자는 위팔두갈래근–위팔근 사이 근피신경에 닿을 수 있으나 각도 조절로 회피 가능, 위팔동맥·정중신경은 안쪽으로 ≥ 10mm 이격, 금침 문헌 없음.</t>
        </is>
      </c>
      <c r="G50" t="inlineStr">
        <is>
          <t>자침깊이 DB LU04 현대 5~10푼 = 11.5~23mm, 고전 4푼 = 9.2mm, 동인 3푼 = 6.9mm이고 금침 '0'은 없다. 위팔 중간 가쪽에서 근피신경이 위팔두갈래근과 위팔근 사이에 있어 최대 심도에서 닿을 수 있다. 노쪽피부정맥은 피하층에 있다. 사자나 심도 조절로 피할 수 있다.</t>
        </is>
      </c>
    </row>
    <row r="51">
      <c r="A51" t="inlineStr">
        <is>
          <t>pLU4</t>
        </is>
      </c>
      <c r="B51" t="inlineStr">
        <is>
          <t>S_orig①최초기술</t>
        </is>
      </c>
      <c r="C51" t="n">
        <v>25</v>
      </c>
      <c r="D51" t="n">
        <v>25</v>
      </c>
      <c r="E51" t="n">
        <v>25</v>
      </c>
    </row>
    <row r="52">
      <c r="A52" t="inlineStr">
        <is>
          <t>pLU4</t>
        </is>
      </c>
      <c r="B52" t="inlineStr">
        <is>
          <t>S_orig②일치율</t>
        </is>
      </c>
      <c r="C52" t="n">
        <v>25</v>
      </c>
      <c r="D52" t="n">
        <v>25</v>
      </c>
      <c r="E52" t="n">
        <v>25</v>
      </c>
    </row>
    <row r="53">
      <c r="A53" t="inlineStr">
        <is>
          <t>pLU4</t>
        </is>
      </c>
      <c r="B53" t="inlineStr">
        <is>
          <t>S_orig③이명</t>
        </is>
      </c>
      <c r="C53" t="n">
        <v>75</v>
      </c>
      <c r="D53" t="n">
        <v>100</v>
      </c>
      <c r="E53" t="n">
        <v>87.5</v>
      </c>
    </row>
    <row r="54">
      <c r="A54" t="inlineStr">
        <is>
          <t>pLU4</t>
        </is>
      </c>
      <c r="B54" t="inlineStr">
        <is>
          <t>S_orig④通考교감</t>
        </is>
      </c>
      <c r="C54" t="n">
        <v>50</v>
      </c>
      <c r="D54" t="n">
        <v>75</v>
      </c>
      <c r="E54" t="n">
        <v>62.5</v>
      </c>
    </row>
    <row r="55">
      <c r="A55" t="inlineStr">
        <is>
          <t>pLU4</t>
        </is>
      </c>
      <c r="B55" t="inlineStr">
        <is>
          <t>게이트</t>
        </is>
      </c>
      <c r="C55" t="inlineStr">
        <is>
          <t>게이트2(경혈 특이 Layer A 0편 → S_reflex ≤ 25, H)</t>
        </is>
      </c>
    </row>
    <row r="56">
      <c r="A56" t="inlineStr">
        <is>
          <t>pLU4</t>
        </is>
      </c>
      <c r="B56" t="inlineStr">
        <is>
          <t>ARI-Core ± 반범위</t>
        </is>
      </c>
      <c r="C56" t="n">
        <v>43.8</v>
      </c>
      <c r="D56" t="n">
        <v>2.5</v>
      </c>
    </row>
    <row r="57">
      <c r="A57" t="inlineStr">
        <is>
          <t>pLU4</t>
        </is>
      </c>
      <c r="B57" t="inlineStr">
        <is>
          <t>등급·표지</t>
        </is>
      </c>
      <c r="C57" t="inlineStr">
        <is>
          <t>D·H</t>
        </is>
      </c>
    </row>
    <row r="58">
      <c r="A58" t="inlineStr">
        <is>
          <t>pLU4</t>
        </is>
      </c>
      <c r="B58" t="inlineStr">
        <is>
          <t>SI</t>
        </is>
      </c>
      <c r="C58" t="n">
        <v>75</v>
      </c>
    </row>
    <row r="59">
      <c r="A59" t="inlineStr">
        <is>
          <t>pLU4</t>
        </is>
      </c>
      <c r="B59" t="inlineStr">
        <is>
          <t>등가중치 민감도</t>
        </is>
      </c>
      <c r="C59" t="n">
        <v>41.7</v>
      </c>
      <c r="D59" t="inlineStr">
        <is>
          <t>D</t>
        </is>
      </c>
      <c r="E59" t="inlineStr">
        <is>
          <t>등급 불변</t>
        </is>
      </c>
    </row>
    <row r="60">
      <c r="A60" t="inlineStr">
        <is>
          <t>pLU4</t>
        </is>
      </c>
      <c r="B60" t="inlineStr">
        <is>
          <t>조정 기록</t>
        </is>
      </c>
      <c r="C60" t="inlineStr">
        <is>
          <t>S_reflex 25점 불일치(A 25 / B 50): Layer A(1819·1822·1832·1833, 견관절주위염 RCT 1836)는 다혈 병용으로 경혈 특이 근거 아님 → 게이트 2 적용, B를 25로 조정. 상충(고전 心痛 주치 vs C5~6 분절) 유지 → '가설'.</t>
        </is>
      </c>
    </row>
    <row r="61">
      <c r="A61" t="inlineStr">
        <is>
          <t>pLU4</t>
        </is>
      </c>
      <c r="B61" t="inlineStr">
        <is>
          <t>notation</t>
        </is>
      </c>
      <c r="C61" t="inlineStr">
        <is>
          <t>ARI v3.0 | ARI-Core 43.8 ± 2.5 (D·H) | SI 75 | 잠정 가중치 0.40/0.35/0.25 | 민감도(등가중치): 41.7 (D, 등급 불변)</t>
        </is>
      </c>
    </row>
    <row r="62">
      <c r="A62" t="inlineStr">
        <is>
          <t>분기</t>
        </is>
      </c>
      <c r="B62" t="inlineStr">
        <is>
          <t>cLU3 vs pLU3</t>
        </is>
      </c>
      <c r="C62" t="inlineStr">
        <is>
          <t>ΔARI-Core 15.0</t>
        </is>
      </c>
      <c r="D62" t="inlineStr">
        <is>
          <t>구간 53.7~58.7 vs 41.2</t>
        </is>
      </c>
      <c r="E62" t="inlineStr">
        <is>
          <t>비중첩</t>
        </is>
      </c>
      <c r="F62" t="inlineStr">
        <is>
          <t>cLU3 우위 선언</t>
        </is>
      </c>
    </row>
    <row r="63">
      <c r="A63" t="inlineStr">
        <is>
          <t>분기</t>
        </is>
      </c>
      <c r="B63" t="inlineStr">
        <is>
          <t>cLU4 vs pLU4</t>
        </is>
      </c>
      <c r="C63" t="inlineStr">
        <is>
          <t>ΔARI-Core 18.7</t>
        </is>
      </c>
      <c r="D63" t="inlineStr">
        <is>
          <t>구간 61.3~63.7 vs 41.3~46.3</t>
        </is>
      </c>
      <c r="E63" t="inlineStr">
        <is>
          <t>비중첩</t>
        </is>
      </c>
      <c r="F63" t="inlineStr">
        <is>
          <t>cLU4 우위 선언</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5" t="inlineStr">
        <is>
          <t>Target</t>
        </is>
      </c>
      <c r="B1" s="5" t="inlineStr">
        <is>
          <t>항목</t>
        </is>
      </c>
      <c r="C1" s="5" t="inlineStr">
        <is>
          <t>A</t>
        </is>
      </c>
      <c r="D1" s="5" t="inlineStr">
        <is>
          <t>B</t>
        </is>
      </c>
      <c r="E1" s="5" t="inlineStr">
        <is>
          <t>최종</t>
        </is>
      </c>
      <c r="F1" s="5" t="inlineStr">
        <is>
          <t>참조 ID</t>
        </is>
      </c>
      <c r="G1" s="5" t="inlineStr">
        <is>
          <t>papers.id</t>
        </is>
      </c>
      <c r="H1" s="5" t="inlineStr">
        <is>
          <t>근거 A / 판정</t>
        </is>
      </c>
      <c r="I1" s="5" t="inlineStr">
        <is>
          <t>근거 B</t>
        </is>
      </c>
    </row>
    <row r="2">
      <c r="A2" t="inlineStr">
        <is>
          <t>cLU3</t>
        </is>
      </c>
      <c r="B2" t="n">
        <v>1</v>
      </c>
      <c r="C2" t="n">
        <v>2</v>
      </c>
      <c r="D2" t="n">
        <v>2</v>
      </c>
      <c r="E2" t="n">
        <v>2</v>
      </c>
      <c r="F2" t="inlineStr">
        <is>
          <t>B1-01, B1-03, B1-06</t>
        </is>
      </c>
      <c r="H2" t="inlineStr">
        <is>
          <t>'動脈中' 촉진 지표 = 위팔동맥·정중신경 신경혈관다발이 규범 해부서에 명시</t>
        </is>
      </c>
      <c r="I2" t="inlineStr">
        <is>
          <t>위팔동맥·정중신경·안쪽위팔피부신경이 안쪽 위팔두갈래근고랑에 있다는 점은 규범 해부서에 명시되어 있고 '動脈中' 촉진 지표와 일치함</t>
        </is>
      </c>
    </row>
    <row r="3">
      <c r="A3" t="inlineStr">
        <is>
          <t>cLU3</t>
        </is>
      </c>
      <c r="B3" t="n">
        <v>2</v>
      </c>
      <c r="C3" t="n">
        <v>1</v>
      </c>
      <c r="D3" t="n">
        <v>1</v>
      </c>
      <c r="E3" t="n">
        <v>1</v>
      </c>
      <c r="F3" t="inlineStr">
        <is>
          <t>B1-03, B3-01, B3-05</t>
        </is>
      </c>
      <c r="H3" t="inlineStr">
        <is>
          <t>안쪽 위팔 피부 T1~T2와 코점막 교감 절전(T1~T3)·폐(T2~T5) 분절 부분 중첩. 정중신경은 C6~T1로 혼재, 유추 수준</t>
        </is>
      </c>
      <c r="I3" t="inlineStr">
        <is>
          <t>피부 T1(안쪽위팔피부신경)·T2(갈비사이위팔신경)와 폐·코 교감 T1~T4의 부분 중첩. 코점막 내장절 대응은 간접</t>
        </is>
      </c>
    </row>
    <row r="4">
      <c r="A4" t="inlineStr">
        <is>
          <t>cLU3</t>
        </is>
      </c>
      <c r="B4" t="n">
        <v>3</v>
      </c>
      <c r="C4" t="n">
        <v>1</v>
      </c>
      <c r="D4" t="n">
        <v>1</v>
      </c>
      <c r="E4" t="n">
        <v>1</v>
      </c>
      <c r="F4" t="inlineStr">
        <is>
          <t>B3-04, B3-05, B3-06</t>
        </is>
      </c>
      <c r="H4" t="inlineStr">
        <is>
          <t>혈관주위·피부 구심 섬유 유추. 범위 밖(마취 동물·타 경혈)</t>
        </is>
      </c>
      <c r="I4" t="inlineStr">
        <is>
          <t>체성-교감 반사 구심 섬유는 마취 동물 근거로만 유추</t>
        </is>
      </c>
    </row>
    <row r="5">
      <c r="A5" t="inlineStr">
        <is>
          <t>cLU3</t>
        </is>
      </c>
      <c r="B5" t="n">
        <v>4</v>
      </c>
      <c r="C5" t="n">
        <v>1</v>
      </c>
      <c r="D5" t="n">
        <v>1</v>
      </c>
      <c r="E5" t="n">
        <v>1</v>
      </c>
      <c r="F5" t="inlineStr">
        <is>
          <t>B3-02, B3-04, B3-05</t>
        </is>
      </c>
      <c r="H5" t="inlineStr">
        <is>
          <t>분절성 체성-교감 반사 경로 유추</t>
        </is>
      </c>
      <c r="I5" t="inlineStr">
        <is>
          <t>척수 분절 수렴·성상신경절 경로는 이론적 유추</t>
        </is>
      </c>
    </row>
    <row r="6">
      <c r="A6" t="inlineStr">
        <is>
          <t>cLU3</t>
        </is>
      </c>
      <c r="B6" t="n">
        <v>5</v>
      </c>
      <c r="C6" t="n">
        <v>1</v>
      </c>
      <c r="D6" t="n">
        <v>0</v>
      </c>
      <c r="E6" t="n">
        <v>0</v>
      </c>
      <c r="F6" t="inlineStr">
        <is>
          <t>B3-05</t>
        </is>
      </c>
      <c r="H6" t="inlineStr">
        <is>
          <t>교감 흥분→코점막 혈관수축 방향은 유추일 뿐이며, 황룡상은 鼻衄 주치를 맥후(진단) 기원으로 봄. 1676은 PMID 불일치로 미사용</t>
        </is>
      </c>
      <c r="I6" t="inlineStr">
        <is>
          <t>鼻衄 지혈 방향의 원심 효과를 뒷받침하는 등록부 참조가 없음. 1676은 PMID 오류이고 경혈 연구가 아님. 보고서 스스로도 '天府脈' 맥후(진단)에서 유래했을 가능성을 제기함(H3)</t>
        </is>
      </c>
    </row>
    <row r="7">
      <c r="A7" t="inlineStr">
        <is>
          <t>cLU3</t>
        </is>
      </c>
      <c r="B7" t="n">
        <v>6</v>
      </c>
      <c r="C7" t="n">
        <v>0</v>
      </c>
      <c r="D7" t="n">
        <v>0</v>
      </c>
      <c r="E7" t="n">
        <v>0</v>
      </c>
      <c r="F7" t="inlineStr">
        <is>
          <t>B4-05</t>
        </is>
      </c>
      <c r="H7" t="inlineStr">
        <is>
          <t>cLU3 인체 전환 근거 없음</t>
        </is>
      </c>
      <c r="I7" t="inlineStr">
        <is>
          <t>cLU 인체 전환 근거 없음</t>
        </is>
      </c>
    </row>
    <row r="8">
      <c r="A8" t="inlineStr">
        <is>
          <t>cLU3</t>
        </is>
      </c>
      <c r="B8" t="inlineStr">
        <is>
          <t>합계</t>
        </is>
      </c>
      <c r="C8" t="n">
        <v>6</v>
      </c>
      <c r="D8" t="n">
        <v>5</v>
      </c>
      <c r="E8" t="n">
        <v>5</v>
      </c>
      <c r="H8" t="inlineStr">
        <is>
          <t>가설</t>
        </is>
      </c>
    </row>
    <row r="9">
      <c r="A9" t="inlineStr">
        <is>
          <t>cLU4</t>
        </is>
      </c>
      <c r="B9" t="n">
        <v>1</v>
      </c>
      <c r="C9" t="n">
        <v>2</v>
      </c>
      <c r="D9" t="n">
        <v>2</v>
      </c>
      <c r="E9" t="n">
        <v>2</v>
      </c>
      <c r="F9" t="inlineStr">
        <is>
          <t>B1-01, B1-03, B1-06</t>
        </is>
      </c>
      <c r="H9" t="inlineStr">
        <is>
          <t>위팔동맥 박동부·정중신경 신경혈관다발이 규범 해부서에 명시</t>
        </is>
      </c>
      <c r="I9" t="inlineStr">
        <is>
          <t>위팔 중간 안쪽고랑의 위팔동맥·정중신경 다발은 규범 해부로 명시됨</t>
        </is>
      </c>
    </row>
    <row r="10">
      <c r="A10" t="inlineStr">
        <is>
          <t>cLU4</t>
        </is>
      </c>
      <c r="B10" t="n">
        <v>2</v>
      </c>
      <c r="C10" t="n">
        <v>2</v>
      </c>
      <c r="D10" t="n">
        <v>2</v>
      </c>
      <c r="E10" t="n">
        <v>2</v>
      </c>
      <c r="F10" t="inlineStr">
        <is>
          <t>B1-03, B3-01, B3-03</t>
        </is>
      </c>
      <c r="H10" t="inlineStr">
        <is>
          <t>안쪽위팔피부신경(T1)·갈비사이위팔신경(T2) 피절이 심장 구심 T1~T4 및 협심통 연관통 부위와 명시적으로 일치</t>
        </is>
      </c>
      <c r="I10" t="inlineStr">
        <is>
          <t>위팔 안쪽 T1~T2 피절과 심장 구심 T1~T4·협심통 연관통 부위가 명시적으로 일치함(Head zone, 내장-체성 수렴)</t>
        </is>
      </c>
    </row>
    <row r="11">
      <c r="A11" t="inlineStr">
        <is>
          <t>cLU4</t>
        </is>
      </c>
      <c r="B11" t="n">
        <v>3</v>
      </c>
      <c r="C11" t="n">
        <v>1</v>
      </c>
      <c r="D11" t="n">
        <v>1</v>
      </c>
      <c r="E11" t="n">
        <v>1</v>
      </c>
      <c r="F11" t="inlineStr">
        <is>
          <t>B3-04, B3-05, B3-06, B3-12</t>
        </is>
      </c>
      <c r="H11" t="inlineStr">
        <is>
          <t>정중신경 위 PC5-6 검증 마취 동물 연구에서 유추(범위 밖)</t>
        </is>
      </c>
      <c r="I11" t="inlineStr">
        <is>
          <t>동물 근거 유추</t>
        </is>
      </c>
    </row>
    <row r="12">
      <c r="A12" t="inlineStr">
        <is>
          <t>cLU4</t>
        </is>
      </c>
      <c r="B12" t="n">
        <v>4</v>
      </c>
      <c r="C12" t="n">
        <v>1</v>
      </c>
      <c r="D12" t="n">
        <v>1</v>
      </c>
      <c r="E12" t="n">
        <v>1</v>
      </c>
      <c r="F12" t="inlineStr">
        <is>
          <t>B3-03, B3-12</t>
        </is>
      </c>
      <c r="H12" t="inlineStr">
        <is>
          <t>후각 수렴·rVLM 경로 유추</t>
        </is>
      </c>
      <c r="I12" t="inlineStr">
        <is>
          <t>후각 수렴은 심장통 기전(동물·사람 종설). 자극 효과 경로로는 유추</t>
        </is>
      </c>
    </row>
    <row r="13">
      <c r="A13" t="inlineStr">
        <is>
          <t>cLU4</t>
        </is>
      </c>
      <c r="B13" t="n">
        <v>5</v>
      </c>
      <c r="C13" t="n">
        <v>1</v>
      </c>
      <c r="D13" t="n">
        <v>1</v>
      </c>
      <c r="E13" t="n">
        <v>1</v>
      </c>
      <c r="F13" t="inlineStr">
        <is>
          <t>B3-12, B3-13</t>
        </is>
      </c>
      <c r="H13" t="inlineStr">
        <is>
          <t>교감 흥분성 심혈관 반응 억제 방향이 心痛 주치와 정합하나 타 경혈·동물 근거</t>
        </is>
      </c>
      <c r="I13" t="inlineStr">
        <is>
          <t>정중신경 위 PC5-6 심혈관 반사(마취 동물)에서 범위 밖 유추. 고전 '心痛' 방향과 개념상 정합</t>
        </is>
      </c>
    </row>
    <row r="14">
      <c r="A14" t="inlineStr">
        <is>
          <t>cLU4</t>
        </is>
      </c>
      <c r="B14" t="n">
        <v>6</v>
      </c>
      <c r="C14" t="n">
        <v>0</v>
      </c>
      <c r="D14" t="n">
        <v>0</v>
      </c>
      <c r="E14" t="n">
        <v>0</v>
      </c>
      <c r="F14" t="inlineStr">
        <is>
          <t>B4-05</t>
        </is>
      </c>
      <c r="H14" t="inlineStr">
        <is>
          <t>cLU4 인체 근거 없음</t>
        </is>
      </c>
      <c r="I14" t="inlineStr">
        <is>
          <t>인체 전환 근거 없음</t>
        </is>
      </c>
    </row>
    <row r="15">
      <c r="A15" t="inlineStr">
        <is>
          <t>cLU4</t>
        </is>
      </c>
      <c r="B15" t="inlineStr">
        <is>
          <t>합계</t>
        </is>
      </c>
      <c r="C15" t="n">
        <v>7</v>
      </c>
      <c r="D15" t="n">
        <v>7</v>
      </c>
      <c r="E15" t="n">
        <v>7</v>
      </c>
      <c r="H15" t="inlineStr">
        <is>
          <t>미부합</t>
        </is>
      </c>
    </row>
    <row r="16">
      <c r="A16" t="inlineStr">
        <is>
          <t>pLU3</t>
        </is>
      </c>
      <c r="B16" t="n">
        <v>1</v>
      </c>
      <c r="C16" t="n">
        <v>1</v>
      </c>
      <c r="D16" t="n">
        <v>2</v>
      </c>
      <c r="E16" t="n">
        <v>1</v>
      </c>
      <c r="F16" t="inlineStr">
        <is>
          <t>B1-01, B1-05, B2-09</t>
        </is>
      </c>
      <c r="H16" t="inlineStr">
        <is>
          <t>근육·근피신경 실체는 규범 해부로 지지되나 2대 교재 신경 목록 불일치, 혈위 특이 실측 없음</t>
        </is>
      </c>
      <c r="I16" t="inlineStr">
        <is>
          <t>위팔두갈래근·근피신경·노쪽피부정맥이 규범 해부와 김재효 교재로 확인됨(공통교재는 혼합형)</t>
        </is>
      </c>
    </row>
    <row r="17">
      <c r="A17" t="inlineStr">
        <is>
          <t>pLU3</t>
        </is>
      </c>
      <c r="B17" t="n">
        <v>2</v>
      </c>
      <c r="C17" t="n">
        <v>1</v>
      </c>
      <c r="D17" t="n">
        <v>1</v>
      </c>
      <c r="E17" t="n">
        <v>1</v>
      </c>
      <c r="F17" t="inlineStr">
        <is>
          <t>B1-03</t>
        </is>
      </c>
      <c r="H17" t="inlineStr">
        <is>
          <t>C5~C6 피절·근절이 국소 위팔 통증과 일치(국소 분절). 고전 내장 주치(鼻衄·喘咳)와는 분절 불일치</t>
        </is>
      </c>
      <c r="I17" t="inlineStr">
        <is>
          <t>C5~C6 피절·근절은 국소 표적(위팔근육)과는 맞지만 고전 표적(폐·코)과는 불일치</t>
        </is>
      </c>
    </row>
    <row r="18">
      <c r="A18" t="inlineStr">
        <is>
          <t>pLU3</t>
        </is>
      </c>
      <c r="B18" t="n">
        <v>3</v>
      </c>
      <c r="C18" t="n">
        <v>1</v>
      </c>
      <c r="D18" t="n">
        <v>1</v>
      </c>
      <c r="E18" t="n">
        <v>1</v>
      </c>
      <c r="F18" t="inlineStr">
        <is>
          <t>B2-02, B3-06, B3-18</t>
        </is>
      </c>
      <c r="H18" t="inlineStr">
        <is>
          <t>근육 구심·결합조직면·국소 아데노신 유추(범위 밖)</t>
        </is>
      </c>
      <c r="I18" t="inlineStr">
        <is>
          <t>근육 구심 섬유는 일반 유추</t>
        </is>
      </c>
    </row>
    <row r="19">
      <c r="A19" t="inlineStr">
        <is>
          <t>pLU3</t>
        </is>
      </c>
      <c r="B19" t="n">
        <v>4</v>
      </c>
      <c r="C19" t="n">
        <v>1</v>
      </c>
      <c r="D19" t="n">
        <v>1</v>
      </c>
      <c r="E19" t="n">
        <v>1</v>
      </c>
      <c r="F19" t="inlineStr">
        <is>
          <t>B3-07, B3-11</t>
        </is>
      </c>
      <c r="H19" t="inlineStr">
        <is>
          <t>관문조절·분절 진통 경로 유추</t>
        </is>
      </c>
      <c r="I19" t="inlineStr">
        <is>
          <t>국소 진통의 일반 기전</t>
        </is>
      </c>
    </row>
    <row r="20">
      <c r="A20" t="inlineStr">
        <is>
          <t>pLU3</t>
        </is>
      </c>
      <c r="B20" t="n">
        <v>5</v>
      </c>
      <c r="C20" t="n">
        <v>1</v>
      </c>
      <c r="D20" t="n">
        <v>1</v>
      </c>
      <c r="E20" t="n">
        <v>1</v>
      </c>
      <c r="F20" t="inlineStr">
        <is>
          <t>B2-03, B2-04, B2-06</t>
        </is>
      </c>
      <c r="G20" t="inlineStr">
        <is>
          <t>1819, 1822</t>
        </is>
      </c>
      <c r="H20" t="inlineStr">
        <is>
          <t>국소 근막 효과 방향은 정합하나 Layer A 결과는 근력 증가(운동 지표)로 통증 주치와 직접 일치하지 않음</t>
        </is>
      </c>
      <c r="I20" t="inlineStr">
        <is>
          <t>국소 근막통 효과 방향만 정합. 고전 P_single(鼻衄·喘咳)과는 불일치</t>
        </is>
      </c>
    </row>
    <row r="21">
      <c r="A21" t="inlineStr">
        <is>
          <t>pLU3</t>
        </is>
      </c>
      <c r="B21" t="n">
        <v>6</v>
      </c>
      <c r="C21" t="n">
        <v>1</v>
      </c>
      <c r="D21" t="n">
        <v>1</v>
      </c>
      <c r="E21" t="n">
        <v>1</v>
      </c>
      <c r="F21" t="inlineStr">
        <is>
          <t>B4-04, B4-05</t>
        </is>
      </c>
      <c r="G21" t="inlineStr">
        <is>
          <t>1819, 1822, 1832, 1833</t>
        </is>
      </c>
      <c r="H21" t="inlineStr">
        <is>
          <t>인체 연구 있으나 다혈위·무대조 전후 비교라 간접</t>
        </is>
      </c>
      <c r="I21" t="inlineStr">
        <is>
          <t>다혈 병용·비대조 인체 근력/EMG 연구로 간접 근거</t>
        </is>
      </c>
    </row>
    <row r="22">
      <c r="A22" t="inlineStr">
        <is>
          <t>pLU3</t>
        </is>
      </c>
      <c r="B22" t="inlineStr">
        <is>
          <t>합계</t>
        </is>
      </c>
      <c r="C22" t="n">
        <v>6</v>
      </c>
      <c r="D22" t="n">
        <v>7</v>
      </c>
      <c r="E22" t="n">
        <v>6</v>
      </c>
      <c r="H22" t="inlineStr">
        <is>
          <t>가설</t>
        </is>
      </c>
    </row>
    <row r="23">
      <c r="A23" t="inlineStr">
        <is>
          <t>pLU4</t>
        </is>
      </c>
      <c r="B23" t="n">
        <v>1</v>
      </c>
      <c r="C23" t="n">
        <v>1</v>
      </c>
      <c r="D23" t="n">
        <v>2</v>
      </c>
      <c r="E23" t="n">
        <v>1</v>
      </c>
      <c r="F23" t="inlineStr">
        <is>
          <t>B1-01, B1-05, B2-09</t>
        </is>
      </c>
      <c r="H23" t="inlineStr">
        <is>
          <t>교재 신경 목록 불일치, 실측 없음</t>
        </is>
      </c>
      <c r="I23" t="inlineStr">
        <is>
          <t>가쪽 모서리 근육·신경 실체 확인</t>
        </is>
      </c>
    </row>
    <row r="24">
      <c r="A24" t="inlineStr">
        <is>
          <t>pLU4</t>
        </is>
      </c>
      <c r="B24" t="n">
        <v>2</v>
      </c>
      <c r="C24" t="n">
        <v>1</v>
      </c>
      <c r="D24" t="n">
        <v>1</v>
      </c>
      <c r="E24" t="n">
        <v>1</v>
      </c>
      <c r="F24" t="inlineStr">
        <is>
          <t>B1-03</t>
        </is>
      </c>
      <c r="H24" t="inlineStr">
        <is>
          <t>C5~C6 국소 분절 일치. 고전 心痛(T1~T4)과는 불일치</t>
        </is>
      </c>
      <c r="I24" t="inlineStr">
        <is>
          <t>C5~6은 국소에만 정합하고, 고전 心痛(T1~T4)과는 불일치(H2)</t>
        </is>
      </c>
    </row>
    <row r="25">
      <c r="A25" t="inlineStr">
        <is>
          <t>pLU4</t>
        </is>
      </c>
      <c r="B25" t="n">
        <v>3</v>
      </c>
      <c r="C25" t="n">
        <v>1</v>
      </c>
      <c r="D25" t="n">
        <v>1</v>
      </c>
      <c r="E25" t="n">
        <v>1</v>
      </c>
      <c r="F25" t="inlineStr">
        <is>
          <t>B2-02, B3-06</t>
        </is>
      </c>
      <c r="H25" t="inlineStr">
        <is>
          <t>근육 구심 유추</t>
        </is>
      </c>
      <c r="I25" t="inlineStr">
        <is>
          <t>일반 유추</t>
        </is>
      </c>
    </row>
    <row r="26">
      <c r="A26" t="inlineStr">
        <is>
          <t>pLU4</t>
        </is>
      </c>
      <c r="B26" t="n">
        <v>4</v>
      </c>
      <c r="C26" t="n">
        <v>1</v>
      </c>
      <c r="D26" t="n">
        <v>1</v>
      </c>
      <c r="E26" t="n">
        <v>1</v>
      </c>
      <c r="F26" t="inlineStr">
        <is>
          <t>B3-07, B3-11</t>
        </is>
      </c>
      <c r="H26" t="inlineStr">
        <is>
          <t>분절 진통 경로 유추</t>
        </is>
      </c>
      <c r="I26" t="inlineStr">
        <is>
          <t>일반 진통 기전</t>
        </is>
      </c>
    </row>
    <row r="27">
      <c r="A27" t="inlineStr">
        <is>
          <t>pLU4</t>
        </is>
      </c>
      <c r="B27" t="n">
        <v>5</v>
      </c>
      <c r="C27" t="n">
        <v>1</v>
      </c>
      <c r="D27" t="n">
        <v>1</v>
      </c>
      <c r="E27" t="n">
        <v>1</v>
      </c>
      <c r="F27" t="inlineStr">
        <is>
          <t>B2-03, B2-04, B2-06</t>
        </is>
      </c>
      <c r="G27" t="inlineStr">
        <is>
          <t>1836</t>
        </is>
      </c>
      <c r="H27" t="inlineStr">
        <is>
          <t>견비통 개선 방향은 국소 주치와 일치하나 다혈위 처방</t>
        </is>
      </c>
      <c r="I27" t="inlineStr">
        <is>
          <t>국소 효과만 정합</t>
        </is>
      </c>
    </row>
    <row r="28">
      <c r="A28" t="inlineStr">
        <is>
          <t>pLU4</t>
        </is>
      </c>
      <c r="B28" t="n">
        <v>6</v>
      </c>
      <c r="C28" t="n">
        <v>1</v>
      </c>
      <c r="D28" t="n">
        <v>1</v>
      </c>
      <c r="E28" t="n">
        <v>1</v>
      </c>
      <c r="F28" t="inlineStr">
        <is>
          <t>B4-04, B4-05</t>
        </is>
      </c>
      <c r="G28" t="inlineStr">
        <is>
          <t>1819, 1822, 1832, 1833, 1836</t>
        </is>
      </c>
      <c r="H28" t="inlineStr">
        <is>
          <t>인체 RCT·전후 연구 있으나 혈위 특이성 없음</t>
        </is>
      </c>
      <c r="I28" t="inlineStr">
        <is>
          <t>다혈 병용 인체 연구로 간접 근거</t>
        </is>
      </c>
    </row>
    <row r="29">
      <c r="A29" t="inlineStr">
        <is>
          <t>pLU4</t>
        </is>
      </c>
      <c r="B29" t="inlineStr">
        <is>
          <t>합계</t>
        </is>
      </c>
      <c r="C29" t="n">
        <v>6</v>
      </c>
      <c r="D29" t="n">
        <v>7</v>
      </c>
      <c r="E29" t="n">
        <v>6</v>
      </c>
      <c r="H29" t="inlineStr">
        <is>
          <t>가설</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5" t="inlineStr">
        <is>
          <t>papers.id</t>
        </is>
      </c>
      <c r="B1" s="5" t="inlineStr">
        <is>
          <t>연도</t>
        </is>
      </c>
      <c r="C1" s="5" t="inlineStr">
        <is>
          <t>저널</t>
        </is>
      </c>
      <c r="D1" s="5" t="inlineStr">
        <is>
          <t>제목</t>
        </is>
      </c>
      <c r="E1" s="5" t="inlineStr">
        <is>
          <t>PMID</t>
        </is>
      </c>
      <c r="F1" s="5" t="inlineStr">
        <is>
          <t>DOI</t>
        </is>
      </c>
      <c r="G1" s="5" t="inlineStr">
        <is>
          <t>설계</t>
        </is>
      </c>
      <c r="H1" s="5" t="inlineStr">
        <is>
          <t>관련 경혈</t>
        </is>
      </c>
      <c r="I1" s="5" t="inlineStr">
        <is>
          <t>상태</t>
        </is>
      </c>
    </row>
    <row r="2">
      <c r="A2" t="n">
        <v>1819</v>
      </c>
      <c r="B2" t="n">
        <v>2020</v>
      </c>
      <c r="C2" t="inlineStr">
        <is>
          <t>Evid Based Complement Alternat Med</t>
        </is>
      </c>
      <c r="D2" t="inlineStr">
        <is>
          <t>Effect of Acupuncture on Muscle Endurance in the Female Shoulder Joint: A Pilot Study</t>
        </is>
      </c>
      <c r="E2" t="inlineStr">
        <is>
          <t>32952592</t>
        </is>
      </c>
      <c r="F2" t="inlineStr">
        <is>
          <t>(DB DOI 불일치 의심)</t>
        </is>
      </c>
      <c r="G2" t="inlineStr">
        <is>
          <t>인체 다혈위 비대조 전후</t>
        </is>
      </c>
      <c r="H2" t="inlineStr">
        <is>
          <t>LU3·LU4</t>
        </is>
      </c>
      <c r="I2" t="inlineStr">
        <is>
          <t>active</t>
        </is>
      </c>
    </row>
    <row r="3">
      <c r="A3" t="n">
        <v>1822</v>
      </c>
      <c r="B3" t="n">
        <v>2020</v>
      </c>
      <c r="C3" t="inlineStr">
        <is>
          <t>Evid Based Complement Alternat Med</t>
        </is>
      </c>
      <c r="D3" t="inlineStr">
        <is>
          <t>Effects of Acupuncture on Explosive Force Production by the Healthy Female Shoulder Joint</t>
        </is>
      </c>
      <c r="E3" t="inlineStr">
        <is>
          <t>33343681</t>
        </is>
      </c>
      <c r="F3" t="inlineStr">
        <is>
          <t>(DB DOI 불일치 의심)</t>
        </is>
      </c>
      <c r="G3" t="inlineStr">
        <is>
          <t>인체 다혈위 비대조 전후</t>
        </is>
      </c>
      <c r="H3" t="inlineStr">
        <is>
          <t>LU3·LU4</t>
        </is>
      </c>
      <c r="I3" t="inlineStr">
        <is>
          <t>active</t>
        </is>
      </c>
    </row>
    <row r="4">
      <c r="A4" t="n">
        <v>1832</v>
      </c>
      <c r="B4" t="n">
        <v>2021</v>
      </c>
      <c r="C4" t="inlineStr">
        <is>
          <t>Int J Environ Res Public Health</t>
        </is>
      </c>
      <c r="D4" t="inlineStr">
        <is>
          <t>Effect of Acupuncture on Timeliness of Male Shoulder Joint Endurance</t>
        </is>
      </c>
      <c r="E4" t="inlineStr">
        <is>
          <t>34070380</t>
        </is>
      </c>
      <c r="F4" t="inlineStr">
        <is>
          <t>10.3390/ijerph18115638</t>
        </is>
      </c>
      <c r="G4" t="inlineStr">
        <is>
          <t>인체 다혈위 비대조 전후</t>
        </is>
      </c>
      <c r="H4" t="inlineStr">
        <is>
          <t>LU3·LU4</t>
        </is>
      </c>
      <c r="I4" t="inlineStr">
        <is>
          <t>active</t>
        </is>
      </c>
    </row>
    <row r="5">
      <c r="A5" t="n">
        <v>1833</v>
      </c>
      <c r="B5" t="n">
        <v>2021</v>
      </c>
      <c r="C5" t="inlineStr">
        <is>
          <t>Evid Based Complement Alternat Med</t>
        </is>
      </c>
      <c r="D5" t="inlineStr">
        <is>
          <t>Effect of Acupuncture on the Timeliness of Explosive Forces Generated by the Male Shoulder Joint</t>
        </is>
      </c>
      <c r="E5" t="inlineStr">
        <is>
          <t>33815552</t>
        </is>
      </c>
      <c r="F5" t="inlineStr">
        <is>
          <t>10.1155/2021/5585605</t>
        </is>
      </c>
      <c r="G5" t="inlineStr">
        <is>
          <t>인체 다혈위 비대조 전후</t>
        </is>
      </c>
      <c r="H5" t="inlineStr">
        <is>
          <t>LU3·LU4</t>
        </is>
      </c>
      <c r="I5" t="inlineStr">
        <is>
          <t>active</t>
        </is>
      </c>
    </row>
    <row r="6">
      <c r="A6" t="n">
        <v>1836</v>
      </c>
      <c r="B6" t="n">
        <v>2013</v>
      </c>
      <c r="C6" t="inlineStr">
        <is>
          <t>Zhongguo Zhen Jiu</t>
        </is>
      </c>
      <c r="D6" t="inlineStr">
        <is>
          <t>Efficacy comparison of different stimulation therapies for periarthritis of shoulder</t>
        </is>
      </c>
      <c r="E6" t="inlineStr">
        <is>
          <t>23620934</t>
        </is>
      </c>
      <c r="G6" t="inlineStr">
        <is>
          <t>인체 무작위 비교, 다혈위</t>
        </is>
      </c>
      <c r="H6" t="inlineStr">
        <is>
          <t>LU4</t>
        </is>
      </c>
      <c r="I6" t="inlineStr">
        <is>
          <t>active</t>
        </is>
      </c>
    </row>
    <row r="7">
      <c r="A7" t="n">
        <v>1827</v>
      </c>
      <c r="B7" t="n">
        <v>2026</v>
      </c>
      <c r="C7" t="inlineStr">
        <is>
          <t>Zhongguo Zhen Jiu</t>
        </is>
      </c>
      <c r="D7" t="inlineStr">
        <is>
          <t>Can Tianfu (LU3) treat shoulder-arm pain? (교재 주치 기술 논평)</t>
        </is>
      </c>
      <c r="E7" t="inlineStr">
        <is>
          <t>42618253</t>
        </is>
      </c>
      <c r="F7" t="inlineStr">
        <is>
          <t>10.13703/j.0255-2930.20250624-k0001</t>
        </is>
      </c>
      <c r="G7" t="inlineStr">
        <is>
          <t>논평(비실험)</t>
        </is>
      </c>
      <c r="H7" t="inlineStr">
        <is>
          <t>LU3</t>
        </is>
      </c>
      <c r="I7" t="inlineStr">
        <is>
          <t>active</t>
        </is>
      </c>
    </row>
    <row r="8">
      <c r="A8" t="n">
        <v>1829</v>
      </c>
      <c r="B8" t="n">
        <v>2020</v>
      </c>
      <c r="C8" t="inlineStr">
        <is>
          <t>Zhongguo Zhen Jiu</t>
        </is>
      </c>
      <c r="D8" t="inlineStr">
        <is>
          <t>experienced ten acupoints for functional dyspepsia</t>
        </is>
      </c>
      <c r="E8" t="inlineStr">
        <is>
          <t>33788483</t>
        </is>
      </c>
      <c r="F8" t="inlineStr">
        <is>
          <t>10.13703/j.0255-2930.20191115-k0003</t>
        </is>
      </c>
      <c r="G8" t="inlineStr">
        <is>
          <t>인체 비RCT 다혈위</t>
        </is>
      </c>
      <c r="H8" t="inlineStr">
        <is>
          <t>LU4(관련성 낮음)</t>
        </is>
      </c>
      <c r="I8" t="inlineStr">
        <is>
          <t>active</t>
        </is>
      </c>
    </row>
    <row r="9">
      <c r="A9" t="n">
        <v>1837</v>
      </c>
      <c r="B9" t="n">
        <v>2020</v>
      </c>
      <c r="C9" t="inlineStr">
        <is>
          <t>Zhongguo Zhen Jiu</t>
        </is>
      </c>
      <c r="D9" t="inlineStr">
        <is>
          <t>YANG Jun chronic diarrhea</t>
        </is>
      </c>
      <c r="E9" t="inlineStr">
        <is>
          <t>32100510</t>
        </is>
      </c>
      <c r="F9" t="inlineStr">
        <is>
          <t>10.13703/j.0255-2930.20190215-k00044</t>
        </is>
      </c>
      <c r="G9" t="inlineStr">
        <is>
          <t>인체 비RCT 다혈위</t>
        </is>
      </c>
      <c r="H9" t="inlineStr">
        <is>
          <t>LU4(관련성 낮음)</t>
        </is>
      </c>
      <c r="I9" t="inlineStr">
        <is>
          <t>active</t>
        </is>
      </c>
    </row>
    <row r="10">
      <c r="A10" t="n">
        <v>1838</v>
      </c>
      <c r="B10" t="n">
        <v>2021</v>
      </c>
      <c r="C10" t="inlineStr">
        <is>
          <t>Korean J Acupunct</t>
        </is>
      </c>
      <c r="D10" t="inlineStr">
        <is>
          <t>Fire and Warm Needling for De Quervain review</t>
        </is>
      </c>
      <c r="F10" t="inlineStr">
        <is>
          <t>10.14406/acu.2021.031</t>
        </is>
      </c>
      <c r="G10" t="inlineStr">
        <is>
          <t>종설(불산입)</t>
        </is>
      </c>
      <c r="H10" t="inlineStr">
        <is>
          <t>LU4</t>
        </is>
      </c>
      <c r="I10" t="inlineStr">
        <is>
          <t>active</t>
        </is>
      </c>
    </row>
    <row r="11">
      <c r="A11" t="n">
        <v>440</v>
      </c>
      <c r="B11" t="n">
        <v>2022</v>
      </c>
      <c r="C11" t="inlineStr">
        <is>
          <t>Korean J Acupunct</t>
        </is>
      </c>
      <c r="D11" t="inlineStr">
        <is>
          <t>수태음폐경 노선에 대한 고찰 - 천부ㆍ협백을 중심으로</t>
        </is>
      </c>
      <c r="F11" t="inlineStr">
        <is>
          <t>10.14406/acu.2022.024</t>
        </is>
      </c>
      <c r="G11" t="inlineStr">
        <is>
          <t>문헌 연구</t>
        </is>
      </c>
      <c r="H11" t="inlineStr">
        <is>
          <t>LU3·LU4</t>
        </is>
      </c>
      <c r="I11" t="inlineStr">
        <is>
          <t>active</t>
        </is>
      </c>
    </row>
    <row r="12">
      <c r="A12" t="n">
        <v>1676</v>
      </c>
      <c r="B12" t="n">
        <v>1996</v>
      </c>
      <c r="C12" t="inlineStr">
        <is>
          <t>American Journal of Rhinology</t>
        </is>
      </c>
      <c r="D12" t="inlineStr">
        <is>
          <t>Sympathetic control of nasal mucosal vasculature and airway resistance</t>
        </is>
      </c>
      <c r="E12" t="inlineStr">
        <is>
          <t>8937575(오지시)</t>
        </is>
      </c>
      <c r="F12" t="inlineStr">
        <is>
          <t>10.2500/105065896781794719(미존재)</t>
        </is>
      </c>
      <c r="G12" t="inlineStr">
        <is>
          <t>—</t>
        </is>
      </c>
      <c r="H12" t="inlineStr">
        <is>
          <t>LU3</t>
        </is>
      </c>
      <c r="I12" t="inlineStr">
        <is>
          <t>superseded: 검증 불가 인용</t>
        </is>
      </c>
    </row>
    <row r="13">
      <c r="A13" t="n">
        <v>1677</v>
      </c>
      <c r="B13" t="n">
        <v>1999</v>
      </c>
      <c r="C13" t="inlineStr">
        <is>
          <t>Myofascial Pain and Dysfunction</t>
        </is>
      </c>
      <c r="D13" t="inlineStr">
        <is>
          <t>Myofascial Trigger Points in the Biceps Brachii</t>
        </is>
      </c>
      <c r="G13" t="inlineStr">
        <is>
          <t>—</t>
        </is>
      </c>
      <c r="H13" t="inlineStr">
        <is>
          <t>LU3</t>
        </is>
      </c>
      <c r="I13" t="inlineStr">
        <is>
          <t>superseded: 검증 불가 인용(서적은 B2-06)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5" t="inlineStr">
        <is>
          <t>경혈</t>
        </is>
      </c>
      <c r="B1" s="5" t="inlineStr">
        <is>
          <t>일시</t>
        </is>
      </c>
      <c r="C1" s="5" t="inlineStr">
        <is>
          <t>소스</t>
        </is>
      </c>
      <c r="D1" s="5" t="inlineStr">
        <is>
          <t>HTTP</t>
        </is>
      </c>
      <c r="E1" s="5" t="inlineStr">
        <is>
          <t>수집</t>
        </is>
      </c>
      <c r="F1" s="5" t="inlineStr">
        <is>
          <t>중복제거</t>
        </is>
      </c>
      <c r="G1" s="5" t="inlineStr">
        <is>
          <t>신규</t>
        </is>
      </c>
      <c r="H1" s="5" t="inlineStr">
        <is>
          <t>쿼리</t>
        </is>
      </c>
    </row>
    <row r="2">
      <c r="A2" t="inlineStr">
        <is>
          <t>LU3</t>
        </is>
      </c>
      <c r="B2" t="inlineStr">
        <is>
          <t>2026-10-04T09:51:18</t>
        </is>
      </c>
      <c r="C2" t="inlineStr">
        <is>
          <t>pubmed</t>
        </is>
      </c>
      <c r="D2" t="inlineStr">
        <is>
          <t>200</t>
        </is>
      </c>
      <c r="E2" t="inlineStr">
        <is>
          <t>13</t>
        </is>
      </c>
      <c r="F2" t="inlineStr">
        <is>
          <t>—</t>
        </is>
      </c>
      <c r="G2" t="inlineStr">
        <is>
          <t>—</t>
        </is>
      </c>
      <c r="H2" t="inlineStr">
        <is>
          <t>("LU3" OR "Tianfu" OR "天府") AND (acupuncture OR electroacupuncture) AND (nerve OR reflex OR autonomic OR mechanism OR anatomy) | ("LU3" OR "Tianfu" OR "天府") AND</t>
        </is>
      </c>
    </row>
    <row r="3">
      <c r="A3" t="inlineStr">
        <is>
          <t>LU3</t>
        </is>
      </c>
      <c r="B3" t="inlineStr">
        <is>
          <t>2026-10-04T09:51:18</t>
        </is>
      </c>
      <c r="C3" t="inlineStr">
        <is>
          <t>openalex</t>
        </is>
      </c>
      <c r="D3" t="inlineStr">
        <is>
          <t>200</t>
        </is>
      </c>
      <c r="E3" t="inlineStr">
        <is>
          <t>11</t>
        </is>
      </c>
      <c r="F3" t="inlineStr">
        <is>
          <t>—</t>
        </is>
      </c>
      <c r="G3" t="inlineStr">
        <is>
          <t>—</t>
        </is>
      </c>
      <c r="H3" t="inlineStr">
        <is>
          <t>doi_starts_with:10.13703,title_and_abstract.search:"Tianfu" OR "LU3" | doi_starts_with:10.13702,title_and_abstract.search:"Tianfu" OR "LU3" | has_doi:true,title</t>
        </is>
      </c>
    </row>
    <row r="4">
      <c r="A4" t="inlineStr">
        <is>
          <t>LU3</t>
        </is>
      </c>
      <c r="B4" t="inlineStr">
        <is>
          <t>2026-10-04T09:51:18</t>
        </is>
      </c>
      <c r="C4" t="inlineStr">
        <is>
          <t>crossref</t>
        </is>
      </c>
      <c r="D4" t="inlineStr">
        <is>
          <t>200</t>
        </is>
      </c>
      <c r="E4" t="inlineStr">
        <is>
          <t>0</t>
        </is>
      </c>
      <c r="F4" t="inlineStr">
        <is>
          <t>—</t>
        </is>
      </c>
      <c r="G4" t="inlineStr">
        <is>
          <t>—</t>
        </is>
      </c>
      <c r="H4" t="inlineStr">
        <is>
          <t>Tianfu acupuncture nerve reflex</t>
        </is>
      </c>
    </row>
    <row r="5">
      <c r="A5" t="inlineStr">
        <is>
          <t>LU3</t>
        </is>
      </c>
      <c r="B5" t="inlineStr">
        <is>
          <t>2026-10-04T09:51:18</t>
        </is>
      </c>
      <c r="C5" t="inlineStr">
        <is>
          <t>all</t>
        </is>
      </c>
      <c r="D5" t="inlineStr">
        <is>
          <t>—</t>
        </is>
      </c>
      <c r="E5" t="inlineStr">
        <is>
          <t>24</t>
        </is>
      </c>
      <c r="F5" t="inlineStr">
        <is>
          <t>7</t>
        </is>
      </c>
      <c r="G5" t="inlineStr">
        <is>
          <t>17</t>
        </is>
      </c>
    </row>
    <row r="6">
      <c r="A6" t="inlineStr">
        <is>
          <t>LU4</t>
        </is>
      </c>
      <c r="B6" t="inlineStr">
        <is>
          <t>2026-10-04T09:51:24</t>
        </is>
      </c>
      <c r="C6" t="inlineStr">
        <is>
          <t>pubmed</t>
        </is>
      </c>
      <c r="D6" t="inlineStr">
        <is>
          <t>200</t>
        </is>
      </c>
      <c r="E6" t="inlineStr">
        <is>
          <t>5</t>
        </is>
      </c>
      <c r="F6" t="inlineStr">
        <is>
          <t>—</t>
        </is>
      </c>
      <c r="G6" t="inlineStr">
        <is>
          <t>—</t>
        </is>
      </c>
      <c r="H6" t="inlineStr">
        <is>
          <t>("LU4" OR "Xiabai" OR "俠白") AND (acupuncture OR electroacupuncture) AND (nerve OR reflex OR autonomic OR mechanism OR anatomy) | ("LU4" OR "Xiabai" OR "俠白") AND</t>
        </is>
      </c>
    </row>
    <row r="7">
      <c r="A7" t="inlineStr">
        <is>
          <t>LU4</t>
        </is>
      </c>
      <c r="B7" t="inlineStr">
        <is>
          <t>2026-10-04T09:51:24</t>
        </is>
      </c>
      <c r="C7" t="inlineStr">
        <is>
          <t>openalex</t>
        </is>
      </c>
      <c r="D7" t="inlineStr">
        <is>
          <t>200</t>
        </is>
      </c>
      <c r="E7" t="inlineStr">
        <is>
          <t>9</t>
        </is>
      </c>
      <c r="F7" t="inlineStr">
        <is>
          <t>—</t>
        </is>
      </c>
      <c r="G7" t="inlineStr">
        <is>
          <t>—</t>
        </is>
      </c>
      <c r="H7" t="inlineStr">
        <is>
          <t>doi_starts_with:10.13703,title_and_abstract.search:"Xiabai" OR "LU4" | doi_starts_with:10.13702,title_and_abstract.search:"Xiabai" OR "LU4" | has_doi:true,title</t>
        </is>
      </c>
    </row>
    <row r="8">
      <c r="A8" t="inlineStr">
        <is>
          <t>LU4</t>
        </is>
      </c>
      <c r="B8" t="inlineStr">
        <is>
          <t>2026-10-04T09:51:24</t>
        </is>
      </c>
      <c r="C8" t="inlineStr">
        <is>
          <t>crossref</t>
        </is>
      </c>
      <c r="D8" t="inlineStr">
        <is>
          <t>200</t>
        </is>
      </c>
      <c r="E8" t="inlineStr">
        <is>
          <t>0</t>
        </is>
      </c>
      <c r="F8" t="inlineStr">
        <is>
          <t>—</t>
        </is>
      </c>
      <c r="G8" t="inlineStr">
        <is>
          <t>—</t>
        </is>
      </c>
      <c r="H8" t="inlineStr">
        <is>
          <t>Xiabai acupuncture nerve reflex</t>
        </is>
      </c>
    </row>
    <row r="9">
      <c r="A9" t="inlineStr">
        <is>
          <t>LU4</t>
        </is>
      </c>
      <c r="B9" t="inlineStr">
        <is>
          <t>2026-10-04T09:51:24</t>
        </is>
      </c>
      <c r="C9" t="inlineStr">
        <is>
          <t>all</t>
        </is>
      </c>
      <c r="D9" t="inlineStr">
        <is>
          <t>—</t>
        </is>
      </c>
      <c r="E9" t="inlineStr">
        <is>
          <t>14</t>
        </is>
      </c>
      <c r="F9" t="inlineStr">
        <is>
          <t>11</t>
        </is>
      </c>
      <c r="G9" t="inlineStr">
        <is>
          <t>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5" t="inlineStr">
        <is>
          <t>위치</t>
        </is>
      </c>
      <c r="B1" s="5" t="inlineStr">
        <is>
          <t>원래 내용</t>
        </is>
      </c>
      <c r="C1" s="5" t="inlineStr">
        <is>
          <t>바꾼 내용</t>
        </is>
      </c>
      <c r="D1" s="5" t="inlineStr">
        <is>
          <t>근거</t>
        </is>
      </c>
    </row>
    <row r="2">
      <c r="A2" t="inlineStr">
        <is>
          <t>머리 인용 블록</t>
        </is>
      </c>
      <c r="B2" t="inlineStr">
        <is>
          <t>"Version 2.6 (Rank 0~7, Tier 3)"</t>
        </is>
      </c>
      <c r="C2" t="inlineStr">
        <is>
          <t>v2.7 표기 + Target별 ARI v3.0 notation 4줄 + 이중 채점 조정 완료</t>
        </is>
      </c>
      <c r="D2" t="inlineStr">
        <is>
          <t>`final_LU0304.json` notation</t>
        </is>
      </c>
    </row>
    <row r="3">
      <c r="A3" t="inlineStr">
        <is>
          <t>§0-1, 결론 1</t>
        </is>
      </c>
      <c r="B3" t="inlineStr">
        <is>
          <t>고전 실체 "확정" 취지</t>
        </is>
      </c>
      <c r="C3" t="inlineStr">
        <is>
          <t>C·H 등급에 맞춰 "개연·가능·가설"로 완화, 실측 부재 명시</t>
        </is>
      </c>
      <c r="D3" t="inlineStr">
        <is>
          <t>final cLU3/cLU4 grade C·H</t>
        </is>
      </c>
    </row>
    <row r="4">
      <c r="A4" t="inlineStr">
        <is>
          <t>§0-5, §8.1</t>
        </is>
      </c>
      <c r="B4" t="inlineStr">
        <is>
          <t>"실측 생리·임상 논문 0편(LU3 13편, LU4 1편 모두 문헌사)", 구 기준 Refinement 미통과</t>
        </is>
      </c>
      <c r="C4" t="inlineStr">
        <is>
          <t>2026-10-04 동기화 후 다혈위 인체 연구 1819·1822·1832·1833, LU4 견관절 무작위 연구 1836 존재 명시. 경혈 특이 0편 → 게이트 2 유지. B-Check 점수로 판정</t>
        </is>
      </c>
      <c r="D4" t="inlineStr">
        <is>
          <t>마스터DB papers 1819·1822·1832·1833·1836; pack_LU3.md·pack_LU4.md</t>
        </is>
      </c>
    </row>
    <row r="5">
      <c r="A5" t="inlineStr">
        <is>
          <t>§0-6, §10</t>
        </is>
      </c>
      <c r="B5" t="inlineStr">
        <is>
          <t>v2.6 4요인 ARI(0.35/0.30/0.20/0.15)와 임의 중간값 점수표, 검산</t>
        </is>
      </c>
      <c r="C5" t="inlineStr">
        <is>
          <t>ARI v3.0 프로파일(ARI-Core ± 반범위·등급·표지·SI·민감도·게이트·S_orig 하위 4항목·조정 기록)</t>
        </is>
      </c>
      <c r="D5" t="inlineStr">
        <is>
          <t>`final_LU0304.json`, 프레임워크 Rank 7·4절</t>
        </is>
      </c>
    </row>
    <row r="6">
      <c r="A6" t="inlineStr">
        <is>
          <t>구판 점수</t>
        </is>
      </c>
      <c r="B6" t="inlineStr">
        <is>
          <t>cLU3 82.75 / cLU4 81.10 / pLU3 66.05 / pLU4 66.05</t>
        </is>
      </c>
      <c r="C6" t="inlineStr">
        <is>
          <t>**구판 v2.6 점수 cLU3 82.75·cLU4 81.10·pLU3 66.05·pLU4 66.05 (비교 불가)**</t>
        </is>
      </c>
      <c r="D6" t="inlineStr">
        <is>
          <t>`_구판_v2.6/` 사본</t>
        </is>
      </c>
    </row>
    <row r="7">
      <c r="A7" t="inlineStr">
        <is>
          <t>§1</t>
        </is>
      </c>
      <c r="B7" t="inlineStr">
        <is>
          <t>천부 출처를 《灵枢·本输》 맥명만 제시</t>
        </is>
      </c>
      <c r="C7" t="inlineStr">
        <is>
          <t>《素问·气穴论》 王冰注 "天府二穴"(혈명) 추가, 통감 결어 '留五呼'와 조문 '留三呼' 이문, '臂內廉'/'臂臑內廉' 이문 메모 추가</t>
        </is>
      </c>
      <c r="D7" t="inlineStr">
        <is>
          <t>穴位通鉴(上卷)_321-400 L144·L146·L172·L282·L388</t>
        </is>
      </c>
    </row>
    <row r="8">
      <c r="A8" t="inlineStr">
        <is>
          <t>§3</t>
        </is>
      </c>
      <c r="B8" t="inlineStr">
        <is>
          <t>이명 '天會' = "출처 미확인 보류"</t>
        </is>
      </c>
      <c r="C8" t="inlineStr">
        <is>
          <t>天會는 《甲乙》 3:46 天池(PC1) 이명 → 천부 이명에서 제외. KJH 백업본 LU03 '–' 대조로 데이터셋 오귀속 경위 설명</t>
        </is>
      </c>
      <c r="D8" t="inlineStr">
        <is>
          <t>穴位通鉴(上卷)_401-480 L822·L994; 通考(下)_81-160 L549·L557·L567; KJH 행 57·274, KJH_backup 행 57·274; 교재 xlsx `경혈_기본정보_마스터` 행 55·272</t>
        </is>
      </c>
    </row>
    <row r="9">
      <c r="A9" t="inlineStr">
        <is>
          <t>§4.2</t>
        </is>
      </c>
      <c r="B9" t="inlineStr">
        <is>
          <t>"프레임워크 v2.6 표준 구간" mm 구간(L1 0~3mm … L3 8~16mm), 신경혈관다발을 L3에 배치</t>
        </is>
      </c>
      <c r="C9" t="inlineStr">
        <is>
          <t>프레임워크 Rank 5 구조 기반 정의로 교체: 위팔동맥·정중신경·근피신경 = **L4 신경혈관속**. 모델 Z와 박동 촉지 깊이의 관계 설명 추가</t>
        </is>
      </c>
      <c r="D9" t="inlineStr">
        <is>
          <t>프레임워크 Rank 5 "Layer 1~5 층차 안전성 평가"</t>
        </is>
      </c>
    </row>
    <row r="10">
      <c r="A10" t="inlineStr">
        <is>
          <t>§5</t>
        </is>
      </c>
      <c r="B10" t="inlineStr">
        <is>
          <t>도달 Layer "L3 상단 = 위팔동맥·정중신경 높이"</t>
        </is>
      </c>
      <c r="C10" t="inlineStr">
        <is>
          <t>"L4 위팔동맥·정중신경"으로 수정, 행 번호·금침 '0' 없음·blank 결측 명시</t>
        </is>
      </c>
      <c r="D10" t="inlineStr">
        <is>
          <t>자침깊이 xlsx 시트1 행 56·57</t>
        </is>
      </c>
    </row>
    <row r="11">
      <c r="A11" t="inlineStr">
        <is>
          <t>§6 판정</t>
        </is>
      </c>
      <c r="B11" t="inlineStr">
        <is>
          <t>—</t>
        </is>
      </c>
      <c r="C11" t="inlineStr">
        <is>
          <t>"두 교재는 근육·노쪽피부정맥만 일치, 신경·혈관 불일치" 명시</t>
        </is>
      </c>
      <c r="D11" t="inlineStr">
        <is>
          <t>교재 xlsx 행 273~284 / 399~412</t>
        </is>
      </c>
    </row>
    <row r="12">
      <c r="A12" t="inlineStr">
        <is>
          <t>§10 pLU 산출근거</t>
        </is>
      </c>
      <c r="B12" t="inlineStr">
        <is>
          <t>"근육 지표 명확, 두 교재 정합"</t>
        </is>
      </c>
      <c r="C12" t="inlineStr">
        <is>
          <t>§6과 일치하도록 "2대 교재 신경·혈관 불일치를 추론 조정"으로 정정</t>
        </is>
      </c>
      <c r="D12" t="inlineStr">
        <is>
          <t>§6, final rationale S_clarity</t>
        </is>
      </c>
    </row>
    <row r="13">
      <c r="A13" t="inlineStr">
        <is>
          <t>§8.1</t>
        </is>
      </c>
      <c r="B13" t="inlineStr">
        <is>
          <t>"PMID 8937575 인용 삭제"</t>
        </is>
      </c>
      <c r="C13" t="inlineStr">
        <is>
          <t>마스터 DB papers.id 1676이 검증 불가 인용으로 superseded 처리됨을 명시(PMID는 Anal Biochem 논문, DOI 미존재). papers.id 1677(Travell &amp; Simons 수기 등록)도 superseded, 서적은 B2-06으로 인용</t>
        </is>
      </c>
      <c r="D13" t="inlineStr">
        <is>
          <t>마스터DB papers 1676·1677 `status`·`superseded_reason`</t>
        </is>
      </c>
    </row>
    <row r="14">
      <c r="A14" t="inlineStr">
        <is>
          <t>§8.2</t>
        </is>
      </c>
      <c r="B14" t="inlineStr">
        <is>
          <t>연구자명 계열 모델 표현(체성-자율신경 반사), "Head zone", Travell &amp; Simons 서명 인용</t>
        </is>
      </c>
      <c r="C14" t="inlineStr">
        <is>
          <t>등록부 ID로 교체(B3-04·B3-05, B3-01·B3-03, B2-06 등). 범위 밖 적용은 "유추"로 표기</t>
        </is>
      </c>
      <c r="D14" t="inlineStr">
        <is>
          <t>`layer_b_reference_registry.md`</t>
        </is>
      </c>
    </row>
    <row r="15">
      <c r="A15" t="inlineStr">
        <is>
          <t>§0-5, §8.1, §10</t>
        </is>
      </c>
      <c r="B15" t="inlineStr">
        <is>
          <t>구판 백분율 Refinement 기준 표현</t>
        </is>
      </c>
      <c r="C15" t="inlineStr">
        <is>
          <t>B-Check 6항목 점수(≥ 8/12 기준)로 대체</t>
        </is>
      </c>
      <c r="D15" t="inlineStr">
        <is>
          <t>프레임워크 6-5</t>
        </is>
      </c>
    </row>
    <row r="16">
      <c r="A16" t="inlineStr">
        <is>
          <t>§8.3·§8.4 신설</t>
        </is>
      </c>
      <c r="B16" t="inlineStr">
        <is>
          <t>B-Check 채점표·외부 검색 로그 없음</t>
        </is>
      </c>
      <c r="C16" t="inlineStr">
        <is>
          <t>4개 Target B-Check 표(A/B/최종·참조 ID·papers.id), LU3·LU4 sync_log 표 추가</t>
        </is>
      </c>
      <c r="D16" t="inlineStr">
        <is>
          <t>final bcheck; pack sync_log</t>
        </is>
      </c>
    </row>
    <row r="17">
      <c r="A17" t="inlineStr">
        <is>
          <t>§10.5 신설</t>
        </is>
      </c>
      <c r="B17" t="inlineStr">
        <is>
          <t>ΔARI 판정 없음</t>
        </is>
      </c>
      <c r="C17" t="inlineStr">
        <is>
          <t>cLU3 vs pLU3 Δ 15.0, cLU4 vs pLU4 Δ 18.7, 비중첩 → Target 1 우위</t>
        </is>
      </c>
      <c r="D17" t="inlineStr">
        <is>
          <t>final ari_core·half_range</t>
        </is>
      </c>
    </row>
    <row r="18">
      <c r="A18" t="inlineStr">
        <is>
          <t>§11 #14·#15</t>
        </is>
      </c>
      <c r="B18" t="inlineStr">
        <is>
          <t>구판 백분율 일치 표현 인용</t>
        </is>
      </c>
      <c r="C18" t="inlineStr">
        <is>
          <t>백분율 문자열 없이 서술</t>
        </is>
      </c>
      <c r="D18" t="inlineStr">
        <is>
          <t>구판 표현 제거 원칙</t>
        </is>
      </c>
    </row>
    <row r="19">
      <c r="A19" t="inlineStr">
        <is>
          <t>미변경</t>
        </is>
      </c>
      <c r="B19" t="inlineStr">
        <is>
          <t>원전 인용문</t>
        </is>
      </c>
      <c r="C19" t="inlineStr">
        <is>
          <t>채점자 B가 원문 대조로 정확함을 확인 → 유지</t>
        </is>
      </c>
      <c r="D19" t="inlineStr">
        <is>
          <t>score_LU0304_B.json</t>
        </is>
      </c>
    </row>
    <row r="20">
      <c r="A20" t="inlineStr">
        <is>
          <t>미해결</t>
        </is>
      </c>
      <c r="B20" t="inlineStr">
        <is>
          <t>마스터 DB LU3 신경지배·반사회로(근피신경, 성상신경절→키셀바흐), LU4 항목 공란; 1819·1822 DB DOI 불일치 의심</t>
        </is>
      </c>
      <c r="C20" t="inlineStr">
        <is>
          <t>보고서에 메모만 남김(DB 미수정)</t>
        </is>
      </c>
      <c r="D20" t="inlineStr">
        <is>
          <t>pack_LU3.md·pack_LU4.md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2026-10-03T10:26:27Z</dcterms:created>
  <dcterms:modified xmlns:dcterms="http://purl.org/dc/terms/" xmlns:xsi="http://www.w3.org/2001/XMLSchema-instance" xsi:type="dcterms:W3CDTF">2026-10-04T01:12:35Z</dcterms:modified>
</cp:coreProperties>
</file>