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_ARI" sheetId="1" state="visible" r:id="rId1"/>
    <sheet xmlns:r="http://schemas.openxmlformats.org/officeDocument/2006/relationships" name="01_문헌스크리닝" sheetId="2" state="visible" r:id="rId2"/>
    <sheet xmlns:r="http://schemas.openxmlformats.org/officeDocument/2006/relationships" name="02_원천_재인용" sheetId="3" state="visible" r:id="rId3"/>
    <sheet xmlns:r="http://schemas.openxmlformats.org/officeDocument/2006/relationships" name="03_이명검증" sheetId="4" state="visible" r:id="rId4"/>
    <sheet xmlns:r="http://schemas.openxmlformats.org/officeDocument/2006/relationships" name="04_3D좌표_Layer" sheetId="5" state="visible" r:id="rId5"/>
    <sheet xmlns:r="http://schemas.openxmlformats.org/officeDocument/2006/relationships" name="05_자침심도" sheetId="6" state="visible" r:id="rId6"/>
    <sheet xmlns:r="http://schemas.openxmlformats.org/officeDocument/2006/relationships" name="06_교재비교" sheetId="7" state="visible" r:id="rId7"/>
    <sheet xmlns:r="http://schemas.openxmlformats.org/officeDocument/2006/relationships" name="07_분기추론_쟁점" sheetId="8" state="visible" r:id="rId8"/>
    <sheet xmlns:r="http://schemas.openxmlformats.org/officeDocument/2006/relationships" name="08_생의학근거" sheetId="9" state="visible" r:id="rId9"/>
    <sheet xmlns:r="http://schemas.openxmlformats.org/officeDocument/2006/relationships" name="09_주치분리" sheetId="10" state="visible" r:id="rId10"/>
    <sheet xmlns:r="http://schemas.openxmlformats.org/officeDocument/2006/relationships" name="10_ARI평가" sheetId="11" state="visible" r:id="rId11"/>
    <sheet xmlns:r="http://schemas.openxmlformats.org/officeDocument/2006/relationships" name="11_정정감사" sheetId="12" state="visible" r:id="rId12"/>
    <sheet xmlns:r="http://schemas.openxmlformats.org/officeDocument/2006/relationships" name="12_ARI_수식검산" sheetId="13" state="visible" r:id="rId13"/>
    <sheet xmlns:r="http://schemas.openxmlformats.org/officeDocument/2006/relationships" name="13_Δ_자침심도_수식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A3B12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FEBE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.5" customWidth="1" min="1" max="1"/>
    <col width="12" customWidth="1" min="2" max="2"/>
    <col width="12" customWidth="1" min="3" max="3"/>
  </cols>
  <sheetData>
    <row r="1">
      <c r="A1" s="1" t="inlineStr">
        <is>
          <t>0. 요약 (Executive Summary)</t>
        </is>
      </c>
    </row>
    <row r="2">
      <c r="A2" s="2" t="inlineStr">
        <is>
          <t>타깃</t>
        </is>
      </c>
      <c r="B2" s="2" t="inlineStr">
        <is>
          <t>ARI</t>
        </is>
      </c>
      <c r="C2" s="2" t="inlineStr">
        <is>
          <t>등급</t>
        </is>
      </c>
    </row>
    <row r="3">
      <c r="A3" s="3" t="inlineStr">
        <is>
          <t>cLU3</t>
        </is>
      </c>
      <c r="B3" s="3" t="inlineStr">
        <is>
          <t>82.75</t>
        </is>
      </c>
      <c r="C3" s="3" t="inlineStr">
        <is>
          <t>B+</t>
        </is>
      </c>
    </row>
    <row r="4">
      <c r="A4" s="3" t="inlineStr">
        <is>
          <t>cLU4</t>
        </is>
      </c>
      <c r="B4" s="3" t="inlineStr">
        <is>
          <t>81.10</t>
        </is>
      </c>
      <c r="C4" s="3" t="inlineStr">
        <is>
          <t>B+</t>
        </is>
      </c>
    </row>
    <row r="5">
      <c r="A5" s="3" t="inlineStr">
        <is>
          <t>pLU3</t>
        </is>
      </c>
      <c r="B5" s="3" t="inlineStr">
        <is>
          <t>66.05</t>
        </is>
      </c>
      <c r="C5" s="3" t="inlineStr">
        <is>
          <t>C</t>
        </is>
      </c>
    </row>
    <row r="6">
      <c r="A6" s="3" t="inlineStr">
        <is>
          <t>pLU4</t>
        </is>
      </c>
      <c r="B6" s="3" t="inlineStr">
        <is>
          <t>66.05</t>
        </is>
      </c>
      <c r="C6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2.90000000000001" customWidth="1" min="1" max="1"/>
    <col width="59.40000000000001" customWidth="1" min="2" max="2"/>
    <col width="66" customWidth="1" min="3" max="3"/>
    <col width="66" customWidth="1" min="4" max="4"/>
  </cols>
  <sheetData>
    <row r="1">
      <c r="A1" s="1" t="inlineStr">
        <is>
          <t>1. 문헌 스크리닝 표 (Rank 1·2: 핵심 3대 원전 직접 대조)</t>
        </is>
      </c>
    </row>
    <row r="2">
      <c r="A2" s="2" t="inlineStr">
        <is>
          <t>원전</t>
        </is>
      </c>
      <c r="B2" s="2" t="inlineStr">
        <is>
          <t>검색 위치</t>
        </is>
      </c>
      <c r="C2" s="2" t="inlineStr">
        <is>
          <t>천부(LU3)</t>
        </is>
      </c>
      <c r="D2" s="2" t="inlineStr">
        <is>
          <t>협백(LU4)</t>
        </is>
      </c>
    </row>
    <row r="3">
      <c r="A3" s="3" t="inlineStr">
        <is>
          <t>《中国针灸穴位通鉴》</t>
        </is>
      </c>
      <c r="B3" s="3" t="inlineStr">
        <is>
          <t>中国针灸穴位通鉴/chunks_refined/中国针灸穴位通鉴(上卷)_321-400.md</t>
        </is>
      </c>
      <c r="C3" s="3" t="inlineStr">
        <is>
          <t>부위: "在腋下三寸，臂內廉動脈中，手太陰脈氣所發"(《甲乙》3:50). 별명: 无. 자법: "禁不可灸，灸之令人逆氣。刺入四分，留三呼"(《甲乙》). 종합 결어: "历代文献记载基本一致"</t>
        </is>
      </c>
      <c r="D3" s="3" t="inlineStr">
        <is>
          <t>부위: "在天府下去肘五寸動脈中"(《甲乙》3:50). 별명: 无. 귀경: "手太陰之別". 자법: "刺入四分，留三呼，灸七壯"(《甲乙》), "刺入三分，可灸五壯"(《铜人》)</t>
        </is>
      </c>
    </row>
    <row r="4">
      <c r="A4" s="3" t="inlineStr">
        <is>
          <t>《中国针灸证治通鉴》</t>
        </is>
      </c>
      <c r="B4" s="3" t="inlineStr">
        <is>
          <t>中国针灸证治通鉴/chunks_refined/中国针灸证治通鉴_401-480.md</t>
        </is>
      </c>
      <c r="C4" s="3" t="inlineStr">
        <is>
          <t>鼻衄: "暴瘅內逆，肝肺相搏，血溢鼻口，取天府"; 《外台》 "灸兩膊上大脈…以鼻嗅臂" 安語 "此方所取穴即天府穴"; 《百证赋》 "天府合谷，鼻中衄血宜追". 瘿: "瘿恶气，灸天府五十壮" 등</t>
        </is>
      </c>
      <c r="D4" s="3" t="inlineStr">
        <is>
          <t>皮膚: 《古今医统》 "治赤白汗斑，灸夾白穴即愈"(安語 "夾白即肺經侠白穴"); 현대 白癜风 "侠白(點刺出血再行拔火罐)"</t>
        </is>
      </c>
    </row>
    <row r="5">
      <c r="A5" s="3" t="inlineStr">
        <is>
          <t>《针灸腧穴通考》</t>
        </is>
      </c>
      <c r="B5" s="3" t="inlineStr">
        <is>
          <t>针灸腧穴通考/chunks_refined/针灸腧穴通考(上)_81-160.md (L1653~2025)</t>
        </is>
      </c>
      <c r="C5" s="3" t="inlineStr">
        <is>
          <t>명실고: "今之天府已非古之天府". 고대 "臂臑內廉動脈中", 현대 "肱二頭肌橈側緣". 위팔동맥은 위팔두갈래근 안쪽고랑을 따라 내려가므로 "此處已相當於今之手少陰經穴分布區域". 가쪽 모서리 해부학 용어를 처음 쓴 것은 일본 침구서다. 中国 교재는 1957년 南京 《针灸学》·1~2판 《讲义》까지 "臑內廉動脈中"을 유지하다가 4판부터 "肱二頭肌外緣"으로 바꿨다</t>
        </is>
      </c>
      <c r="D5" s="3" t="inlineStr">
        <is>
          <t>명실고: "本穴定位，古今不同". 1판 《讲义》의 "重按有動脈應手"에 대해 "按如今之定位，無論如何重按，也不會觸及動脈搏動". "侠白部位在動脈中，故該穴仍可能由手太陰標脈'天府脈'演變而來". 주치 "心痛" = 胸痹心痛 계열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1.9" customWidth="1" min="1" max="1"/>
    <col width="24.2" customWidth="1" min="2" max="2"/>
    <col width="66" customWidth="1" min="3" max="3"/>
    <col width="12" customWidth="1" min="4" max="4"/>
    <col width="61.60000000000001" customWidth="1" min="5" max="5"/>
  </cols>
  <sheetData>
    <row r="1">
      <c r="A1" s="1" t="inlineStr">
        <is>
          <t>2. 원천 vs 재인용·주석 분리 표 (Rank 3)</t>
        </is>
      </c>
    </row>
    <row r="2">
      <c r="A2" s="2" t="inlineStr">
        <is>
          <t>시기</t>
        </is>
      </c>
      <c r="B2" s="2" t="inlineStr">
        <is>
          <t>문헌</t>
        </is>
      </c>
      <c r="C2" s="2" t="inlineStr">
        <is>
          <t>기술</t>
        </is>
      </c>
      <c r="D2" s="2" t="inlineStr">
        <is>
          <t>판정</t>
        </is>
      </c>
      <c r="E2" s="2" t="inlineStr">
        <is>
          <t>평가</t>
        </is>
      </c>
    </row>
    <row r="3">
      <c r="A3" s="3" t="inlineStr">
        <is>
          <t>선진</t>
        </is>
      </c>
      <c r="B3" s="3" t="inlineStr">
        <is>
          <t>《足臂十一脉灸经》 / 《阴阳十一脉灸经》</t>
        </is>
      </c>
      <c r="C3" s="3" t="inlineStr">
        <is>
          <t>臂太陰脈 "以奏臑內" / 臂鉅陰脈 "出臂內陰"</t>
        </is>
      </c>
      <c r="D3" s="3" t="inlineStr">
        <is>
          <t>1차</t>
        </is>
      </c>
      <c r="E3" s="3" t="inlineStr">
        <is>
          <t>위팔 안쪽 노선. 종착은 心</t>
        </is>
      </c>
    </row>
    <row r="4">
      <c r="A4" s="3" t="inlineStr">
        <is>
          <t>선진·한</t>
        </is>
      </c>
      <c r="B4" s="3" t="inlineStr">
        <is>
          <t>《灵枢·本输》·《寒热病》</t>
        </is>
      </c>
      <c r="C4" s="3" t="inlineStr">
        <is>
          <t>"腋內動脈，手太陰也，名曰天府" / "腋下動脈，臂太陰也，名曰天府…暴瘅內逆，肝肺相搏，血溢鼻口，取天府"</t>
        </is>
      </c>
      <c r="D4" s="3" t="inlineStr">
        <is>
          <t>1차</t>
        </is>
      </c>
      <c r="E4" s="3" t="inlineStr">
        <is>
          <t>天府는 본래 맥명(標脈)이며, 진단 맥후가 주치로 전환됨(황룡상)</t>
        </is>
      </c>
    </row>
    <row r="5">
      <c r="A5" s="3" t="inlineStr">
        <is>
          <t>선진·한</t>
        </is>
      </c>
      <c r="B5" s="3" t="inlineStr">
        <is>
          <t>《灵枢·经脉》</t>
        </is>
      </c>
      <c r="C5" s="3" t="inlineStr">
        <is>
          <t>"下循臑內，行少陰心主之前"</t>
        </is>
      </c>
      <c r="D5" s="3" t="inlineStr">
        <is>
          <t>1차</t>
        </is>
      </c>
      <c r="E5" s="3" t="inlineStr">
        <is>
          <t>해석이 갈림. 송석모는 "內"를 안쪽(medial)으로, 황룡상은 帛書보다 노쪽으로 이동한 단계로 봄</t>
        </is>
      </c>
    </row>
    <row r="6">
      <c r="A6" s="3" t="inlineStr">
        <is>
          <t>진(晉)</t>
        </is>
      </c>
      <c r="B6" s="3" t="inlineStr">
        <is>
          <t>《针灸甲乙经》(=《黄帝明堂经》 계열)</t>
        </is>
      </c>
      <c r="C6" s="3" t="inlineStr">
        <is>
          <t>天府 "腋下三寸，臂臑內廉動脈中…禁不可灸，刺入四分" / 侠白 "在天府下，去肘五寸動脈中，手太陰之別，刺入四分，灸五壯(또는 七壯)"</t>
        </is>
      </c>
      <c r="D6" s="3" t="inlineStr">
        <is>
          <t>1차 (정위 원천)</t>
        </is>
      </c>
      <c r="E6" s="3" t="inlineStr">
        <is>
          <t>위치를 정하는 3요소(방향·거리·범위축소 "動脈中")를 모두 갖춤</t>
        </is>
      </c>
    </row>
    <row r="7">
      <c r="A7" s="3" t="inlineStr">
        <is>
          <t>당</t>
        </is>
      </c>
      <c r="B7" s="3" t="inlineStr">
        <is>
          <t>《外台秘要》 인 《深师方》</t>
        </is>
      </c>
      <c r="C7" s="3" t="inlineStr">
        <is>
          <t>"灸兩臂中脈…以鼻嗅臂，點其鼻所著處是穴"</t>
        </is>
      </c>
      <c r="D7" s="3" t="inlineStr">
        <is>
          <t>1차 (灸方)</t>
        </is>
      </c>
      <c r="E7" s="3" t="inlineStr">
        <is>
          <t>간편취혈법(以鼻取之)의 원출처. 원문은 "臂脈"으로 기재하며 천부라고 명시하지 않음</t>
        </is>
      </c>
    </row>
    <row r="8">
      <c r="A8" s="3" t="inlineStr">
        <is>
          <t>송</t>
        </is>
      </c>
      <c r="B8" s="3" t="inlineStr">
        <is>
          <t>《铜人腧穴针灸图经》</t>
        </is>
      </c>
      <c r="C8" s="3" t="inlineStr">
        <is>
          <t>天府 "在腋下三寸動脈中，以鼻取之…今附刺鼻衄血不止" / 侠白 "針入三分"</t>
        </is>
      </c>
      <c r="D8" s="3" t="inlineStr">
        <is>
          <t>2차</t>
        </is>
      </c>
      <c r="E8" s="3" t="inlineStr">
        <is>
          <t>간편취혈법과 "動脈中"을 함께 기재. 자침 3분이 등장</t>
        </is>
      </c>
    </row>
    <row r="9">
      <c r="A9" s="3" t="inlineStr">
        <is>
          <t>명</t>
        </is>
      </c>
      <c r="B9" s="3" t="inlineStr">
        <is>
          <t>正统仿宋铜人</t>
        </is>
      </c>
      <c r="C9" s="3" t="inlineStr">
        <is>
          <t>天府·侠白·尺泽을 위팔 굽힘면 노쪽에 표시</t>
        </is>
      </c>
      <c r="D9" s="3" t="inlineStr">
        <is>
          <t>2차 (도상)</t>
        </is>
      </c>
      <c r="E9" s="3" t="inlineStr">
        <is>
          <t>문자(동맥중)와 도상(노쪽)이 어긋남. 史素·丘濬·太医院 铜人图는 자쪽에 표시</t>
        </is>
      </c>
    </row>
    <row r="10">
      <c r="A10" s="3" t="inlineStr">
        <is>
          <t>명</t>
        </is>
      </c>
      <c r="B10" s="3" t="inlineStr">
        <is>
          <t>《针灸大成》</t>
        </is>
      </c>
      <c r="C10" s="3" t="inlineStr">
        <is>
          <t>"腋下三寸，肘腕上五寸動脈中，用鼻尖點墨，到處是穴"</t>
        </is>
      </c>
      <c r="D10" s="3" t="inlineStr">
        <is>
          <t>2차</t>
        </is>
      </c>
      <c r="E10" s="3" t="inlineStr">
        <is>
          <t>동맥 기재 유지</t>
        </is>
      </c>
    </row>
    <row r="11">
      <c r="A11" s="3" t="inlineStr">
        <is>
          <t>현대</t>
        </is>
      </c>
      <c r="B11" s="3" t="inlineStr">
        <is>
          <t>中国 统编教材 4판~ / WHO 2008</t>
        </is>
      </c>
      <c r="C11" s="3" t="inlineStr">
        <is>
          <t>"肱二頭肌外緣/橈側緣", "lateral border of the biceps brachii"</t>
        </is>
      </c>
      <c r="D11" s="3" t="inlineStr">
        <is>
          <t>현대 개정</t>
        </is>
      </c>
      <c r="E11" s="3" t="inlineStr">
        <is>
          <t>동맥 기재가 빠짐. 위치만 노쪽으로 확정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.2" customWidth="1" min="1" max="1"/>
    <col width="12" customWidth="1" min="2" max="2"/>
    <col width="29.7" customWidth="1" min="3" max="3"/>
    <col width="12" customWidth="1" min="4" max="4"/>
    <col width="66" customWidth="1" min="5" max="5"/>
  </cols>
  <sheetData>
    <row r="1">
      <c r="A1" s="1" t="inlineStr">
        <is>
          <t>3. 이명·별칭 검증 표 (Rank 3)</t>
        </is>
      </c>
    </row>
    <row r="2">
      <c r="A2" s="2" t="inlineStr">
        <is>
          <t>코드</t>
        </is>
      </c>
      <c r="B2" s="2" t="inlineStr">
        <is>
          <t>표준명</t>
        </is>
      </c>
      <c r="C2" s="2" t="inlineStr">
        <is>
          <t>KJH DB (경혈명_비교_정리_KJH.xlsx)</t>
        </is>
      </c>
      <c r="D2" s="2" t="inlineStr">
        <is>
          <t>《穴位通鉴》</t>
        </is>
      </c>
      <c r="E2" s="2" t="inlineStr">
        <is>
          <t>판정</t>
        </is>
      </c>
    </row>
    <row r="3">
      <c r="A3" s="3" t="inlineStr">
        <is>
          <t>LU03</t>
        </is>
      </c>
      <c r="B3" s="3" t="inlineStr">
        <is>
          <t>천부 天府</t>
        </is>
      </c>
      <c r="C3" s="3" t="inlineStr">
        <is>
          <t>天會</t>
        </is>
      </c>
      <c r="D3" s="3" t="inlineStr">
        <is>
          <t>别名无</t>
        </is>
      </c>
      <c r="E3" s="3" t="inlineStr">
        <is>
          <t>KJH와 공통교재 데이터셋은 이명 '天會'를 기재하나 《穴位通鉴》은 별명이 없다고 함. 출처 미확인 이명으로 보류. 맥명 "天府"(《灵枢》)와 혈명 "天府"(《明堂》)의 이중성에 주의</t>
        </is>
      </c>
    </row>
    <row r="4">
      <c r="A4" s="3" t="inlineStr">
        <is>
          <t>LU04</t>
        </is>
      </c>
      <c r="B4" s="3" t="inlineStr">
        <is>
          <t>협백 俠白</t>
        </is>
      </c>
      <c r="C4" s="3" t="inlineStr">
        <is>
          <t>–</t>
        </is>
      </c>
      <c r="D4" s="3" t="inlineStr">
        <is>
          <t>别名无</t>
        </is>
      </c>
      <c r="E4" s="3" t="inlineStr">
        <is>
          <t>이명 없음. 표기 변이 "夾白·挾白"(宋 이후)만 있음. 기존 LU4 보고서의 이명 "白雄"은 근거 없음 → 삭제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6" customWidth="1" min="1" max="1"/>
    <col width="66" customWidth="1" min="2" max="2"/>
    <col width="66" customWidth="1" min="3" max="3"/>
  </cols>
  <sheetData>
    <row r="1">
      <c r="A1" s="1" t="inlineStr">
        <is>
          <t>4. 3D 공간 좌표 및 Layer 1~5 층차 구조 (Rank 5) — 4.1 좌표계와 이원 분기</t>
        </is>
      </c>
    </row>
    <row r="2">
      <c r="A2" s="2" t="inlineStr">
        <is>
          <t>지표</t>
        </is>
      </c>
      <c r="B2" s="2" t="inlineStr">
        <is>
          <t>Target 1: 고전 동맥점 (cLU3 / cLU4)</t>
        </is>
      </c>
      <c r="C2" s="2" t="inlineStr">
        <is>
          <t>Target 2: WHO 정위 (pLU3 / pLU4)</t>
        </is>
      </c>
    </row>
    <row r="3">
      <c r="A3" s="3" t="inlineStr">
        <is>
          <t>체표 정위</t>
        </is>
      </c>
      <c r="B3" s="3" t="inlineStr">
        <is>
          <t>위팔 안쪽면, 위팔두갈래근 안쪽 모서리의 안쪽고랑, 위팔동맥 박동 위. cLU3 = 앞겨드랑주름 아래 3촌, cLU4 = 그 아래 1촌(팔꿈치 위 5촌)</t>
        </is>
      </c>
      <c r="C3" s="3" t="inlineStr">
        <is>
          <t>위팔 앞가쪽면, 위팔두갈래근 가쪽 모서리. pLU3 = 앞겨드랑주름 아래 3촌, pLU4 = 4촌</t>
        </is>
      </c>
    </row>
    <row r="4">
      <c r="A4" s="3" t="inlineStr">
        <is>
          <t>취혈 지표</t>
        </is>
      </c>
      <c r="B4" s="3" t="inlineStr">
        <is>
          <t>"動脈應手". 손바닥을 앞으로 둔 자세에서 안쪽고랑의 맥박을 촉진</t>
        </is>
      </c>
      <c r="C4" s="3" t="inlineStr">
        <is>
          <t>위팔두갈래근 긴갈래의 가쪽 모서리, 노쪽피부정맥 주행선</t>
        </is>
      </c>
    </row>
    <row r="5">
      <c r="A5" s="3" t="inlineStr">
        <is>
          <t>모델 좌표 (기존 비교보고서 값 유지)</t>
        </is>
      </c>
      <c r="B5" s="3" t="inlineStr">
        <is>
          <t>cLU3 (X −14.5, Y 69, Z 18.2) / cLU4 (X −13.2, Y 92, Z 17.5)</t>
        </is>
      </c>
      <c r="C5" s="3" t="inlineStr">
        <is>
          <t>pLU3 (X +13.8, Y 69, Z 12.0) / pLU4 (X +14.5, Y 92, Z 11.5)</t>
        </is>
      </c>
    </row>
    <row r="6">
      <c r="A6" s="3" t="inlineStr">
        <is>
          <t>공간 편차 Δ</t>
        </is>
      </c>
      <c r="B6" s="3" t="inlineStr">
        <is>
          <t>cLU3–pLU3: √(28.3² + 6.2²) ≈ 29.0mm, cLU4–pLU4: √(27.7² + 6.0²) ≈ 28.3mm</t>
        </is>
      </c>
      <c r="C6" s="3" t="inlineStr">
        <is>
          <t>기준점</t>
        </is>
      </c>
    </row>
    <row r="7">
      <c r="A7" s="3" t="inlineStr">
        <is>
          <t>분기 판정</t>
        </is>
      </c>
      <c r="B7" s="3" t="inlineStr">
        <is>
          <t>Δ &gt; 15mm → 이원 분기 확정</t>
        </is>
      </c>
      <c r="C7" s="3" t="inlineStr">
        <is>
          <t>—</t>
        </is>
      </c>
    </row>
    <row r="8"/>
    <row r="9">
      <c r="A9" s="1" t="inlineStr">
        <is>
          <t>4. 3D 공간 좌표 및 Layer 1~5 층차 구조 (Rank 5) — 4.2 Layer 1~5 층차 (프레임워크 v2.6 심도 구간)</t>
        </is>
      </c>
    </row>
    <row r="10">
      <c r="A10" s="2" t="inlineStr">
        <is>
          <t>Layer (심도)</t>
        </is>
      </c>
      <c r="B10" s="2" t="inlineStr">
        <is>
          <t>Target 1: cLU3 / cLU4 (안쪽 동맥점)</t>
        </is>
      </c>
      <c r="C10" s="2" t="inlineStr">
        <is>
          <t>Target 2: pLU3 / pLU4 (가쪽 모서리)</t>
        </is>
      </c>
    </row>
    <row r="11">
      <c r="A11" s="3" t="inlineStr">
        <is>
          <t>L1 피부 (0~3mm)</t>
        </is>
      </c>
      <c r="B11" s="3" t="inlineStr">
        <is>
          <t>안쪽위팔피부신경(T1), 갈비사이위팔신경(T2) 영역</t>
        </is>
      </c>
      <c r="C11" s="3" t="inlineStr">
        <is>
          <t>위가쪽위팔피부신경(겨드랑신경, C5; pLU3 높이), 아래가쪽위팔피부신경(노신경, C5-6; pLU4 높이)</t>
        </is>
      </c>
    </row>
    <row r="12">
      <c r="A12" s="3" t="inlineStr">
        <is>
          <t>L2 피하·얕은근막 (3~8mm)</t>
        </is>
      </c>
      <c r="B12" s="3" t="inlineStr">
        <is>
          <t>피하지방. 자쪽피부정맥은 위팔 중간쯤에서 깊은근막을 뚫음(cLU4 높이 부근)</t>
        </is>
      </c>
      <c r="C12" s="3" t="inlineStr">
        <is>
          <t>노쪽피부정맥(cephalic v.), 가쪽 위팔두갈래근고랑</t>
        </is>
      </c>
    </row>
    <row r="13">
      <c r="A13" s="3" t="inlineStr">
        <is>
          <t>L3 깊은근막·근육 가장자리 (8~16mm)</t>
        </is>
      </c>
      <c r="B13" s="3" t="inlineStr">
        <is>
          <t>깊은근막 바로 아래 신경혈관다발: 위팔동맥·동반정맥, 정중신경(위팔 위쪽에서는 동맥 가쪽, 중간에서 앞으로 교차), 자신경(위쪽에서 동맥 안쪽), 안쪽아래팔피부신경. 체격이 마른 사람은 L2 하단부터 맥박이 촉지됨</t>
        </is>
      </c>
      <c r="C13" s="3" t="inlineStr">
        <is>
          <t>위팔두갈래근 긴갈래 가쪽 근복·운동점</t>
        </is>
      </c>
    </row>
    <row r="14">
      <c r="A14" s="3" t="inlineStr">
        <is>
          <t>L4 심층 (16~22mm)</t>
        </is>
      </c>
      <c r="B14" s="3" t="inlineStr">
        <is>
          <t>부리위팔근(cLU3), 위팔근 안쪽(cLU4), 안쪽 근육사이막</t>
        </is>
      </c>
      <c r="C14" s="3" t="inlineStr">
        <is>
          <t>위팔근 / 근피신경(위팔두갈래근과 위팔근 사이)</t>
        </is>
      </c>
    </row>
    <row r="15">
      <c r="A15" s="3" t="inlineStr">
        <is>
          <t>L5 바닥 (&gt;22mm)</t>
        </is>
      </c>
      <c r="B15" s="3" t="inlineStr">
        <is>
          <t>위팔뼈 안쪽면</t>
        </is>
      </c>
      <c r="C15" s="3" t="inlineStr">
        <is>
          <t>위팔뼈 앞가쪽면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.3" customWidth="1" min="1" max="1"/>
    <col width="17.6" customWidth="1" min="2" max="2"/>
    <col width="13.2" customWidth="1" min="3" max="3"/>
    <col width="12" customWidth="1" min="4" max="4"/>
    <col width="28.6" customWidth="1" min="5" max="5"/>
  </cols>
  <sheetData>
    <row r="1">
      <c r="A1" s="1" t="inlineStr">
        <is>
          <t>5. 자침 깊이 계산표 (Rank 5: 1푼 = 2.3mm)</t>
        </is>
      </c>
    </row>
    <row r="2">
      <c r="A2" s="2" t="inlineStr">
        <is>
          <t>문헌</t>
        </is>
      </c>
      <c r="B2" s="2" t="inlineStr">
        <is>
          <t>천부</t>
        </is>
      </c>
      <c r="C2" s="2" t="inlineStr">
        <is>
          <t>협백</t>
        </is>
      </c>
      <c r="D2" s="2" t="inlineStr">
        <is>
          <t>한대 환산 z</t>
        </is>
      </c>
      <c r="E2" s="2" t="inlineStr">
        <is>
          <t>도달 Layer (cLU 기준)</t>
        </is>
      </c>
    </row>
    <row r="3">
      <c r="A3" s="3" t="inlineStr">
        <is>
          <t>《黄帝明堂经》(황룡상 집교)</t>
        </is>
      </c>
      <c r="B3" s="3" t="inlineStr">
        <is>
          <t>4푼, 禁灸</t>
        </is>
      </c>
      <c r="C3" s="3" t="inlineStr">
        <is>
          <t>4푼, 灸五壯</t>
        </is>
      </c>
      <c r="D3" s="3" t="inlineStr">
        <is>
          <t>9.2mm</t>
        </is>
      </c>
      <c r="E3" s="3" t="inlineStr">
        <is>
          <t>L3 상단 = 위팔동맥·정중신경 높이</t>
        </is>
      </c>
    </row>
    <row r="4">
      <c r="A4" s="3" t="inlineStr">
        <is>
          <t>《针灸甲乙经》</t>
        </is>
      </c>
      <c r="B4" s="3" t="inlineStr">
        <is>
          <t>4푼, 留三呼, 禁灸</t>
        </is>
      </c>
      <c r="C4" s="3" t="inlineStr">
        <is>
          <t>4푼, 留三呼, 灸七壯</t>
        </is>
      </c>
      <c r="D4" s="3" t="inlineStr">
        <is>
          <t>9.2mm</t>
        </is>
      </c>
      <c r="E4" s="3" t="inlineStr">
        <is>
          <t>같음</t>
        </is>
      </c>
    </row>
    <row r="5">
      <c r="A5" s="3" t="inlineStr">
        <is>
          <t>《铜人》 / 《东医宝鉴》(인 동인)</t>
        </is>
      </c>
      <c r="B5" s="3" t="inlineStr">
        <is>
          <t>(4푼) / 3푼</t>
        </is>
      </c>
      <c r="C5" s="3" t="inlineStr">
        <is>
          <t>3푼</t>
        </is>
      </c>
      <c r="D5" s="3" t="inlineStr">
        <is>
          <t>6.9mm</t>
        </is>
      </c>
      <c r="E5" s="3" t="inlineStr">
        <is>
          <t>L2 하단</t>
        </is>
      </c>
    </row>
    <row r="6">
      <c r="A6" s="3" t="inlineStr">
        <is>
          <t>《太平圣惠方》</t>
        </is>
      </c>
      <c r="B6" s="3" t="inlineStr">
        <is>
          <t>4푼, 留七呼, 灸二七壯~百壯</t>
        </is>
      </c>
      <c r="C6" s="3" t="inlineStr">
        <is>
          <t>—</t>
        </is>
      </c>
      <c r="D6" s="3" t="inlineStr">
        <is>
          <t>9.2mm</t>
        </is>
      </c>
      <c r="E6" s="3" t="inlineStr">
        <is>
          <t>—</t>
        </is>
      </c>
    </row>
    <row r="7">
      <c r="A7" s="3" t="inlineStr">
        <is>
          <t>경락수혈학·침구의학 공통교재 / 《通考》</t>
        </is>
      </c>
      <c r="B7" s="3" t="inlineStr">
        <is>
          <t>5~10푼</t>
        </is>
      </c>
      <c r="C7" s="3" t="inlineStr">
        <is>
          <t>5~10푼</t>
        </is>
      </c>
      <c r="D7" s="3" t="inlineStr">
        <is>
          <t>11.5~23mm</t>
        </is>
      </c>
      <c r="E7" s="3" t="inlineStr">
        <is>
          <t>(pLU 기준) L3~L4 위팔두갈래근·근피신경</t>
        </is>
      </c>
    </row>
    <row r="8">
      <c r="A8" s="3" t="inlineStr">
        <is>
          <t>침구경험방</t>
        </is>
      </c>
      <c r="B8" s="3" t="inlineStr">
        <is>
          <t>blank (미기술)</t>
        </is>
      </c>
      <c r="C8" s="3" t="inlineStr">
        <is>
          <t>blank</t>
        </is>
      </c>
      <c r="D8" s="3" t="inlineStr">
        <is>
          <t>—</t>
        </is>
      </c>
      <c r="E8" s="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3" customWidth="1" min="1" max="1"/>
    <col width="47.3" customWidth="1" min="2" max="2"/>
    <col width="48.40000000000001" customWidth="1" min="3" max="3"/>
    <col width="66" customWidth="1" min="4" max="4"/>
  </cols>
  <sheetData>
    <row r="1">
      <c r="A1" s="1" t="inlineStr">
        <is>
          <t>6. 해부학 구조 교재 비교표 (공통교재 vs 김재효)</t>
        </is>
      </c>
    </row>
    <row r="2">
      <c r="A2" s="2" t="inlineStr">
        <is>
          <t>구분</t>
        </is>
      </c>
      <c r="B2" s="2" t="inlineStr">
        <is>
          <t>《경혈학 공통교재》 데이터셋 (상권 p.40·44)</t>
        </is>
      </c>
      <c r="C2" s="2" t="inlineStr">
        <is>
          <t>김재효 교수 데이터셋</t>
        </is>
      </c>
      <c r="D2" s="2" t="inlineStr">
        <is>
          <t>공통점·차이점 분석</t>
        </is>
      </c>
    </row>
    <row r="3">
      <c r="A3" s="3" t="inlineStr">
        <is>
          <t>근육</t>
        </is>
      </c>
      <c r="B3" s="3" t="inlineStr">
        <is>
          <t>천부·협백 모두 위팔두갈래근</t>
        </is>
      </c>
      <c r="C3" s="3" t="inlineStr">
        <is>
          <t>천부: 어깨세모근, 큰가슴근, 위팔두갈래근 긴갈래 / 협백: 위팔두갈래근 긴갈래</t>
        </is>
      </c>
      <c r="D3" s="3" t="inlineStr">
        <is>
          <t>둘 다 가쪽 정위(pLU)를 전제로 함. 김재효 데이터셋은 천부 높이의 어깨세모근 정지부와 큰가슴근 정지부까지 포함</t>
        </is>
      </c>
    </row>
    <row r="4">
      <c r="A4" s="3" t="inlineStr">
        <is>
          <t>신경</t>
        </is>
      </c>
      <c r="B4" s="3" t="inlineStr">
        <is>
          <t>정중신경, 가쪽아래팔피부신경, 아래가쪽위팔피부신경</t>
        </is>
      </c>
      <c r="C4" s="3" t="inlineStr">
        <is>
          <t>위가쪽위팔피부신경, 근육피부신경, 뒤아래팔피부신경, 등쪽아래팔피부신경(C5-6)</t>
        </is>
      </c>
      <c r="D4" s="3" t="inlineStr">
        <is>
          <t>핵심 차이. 공통교재의 정중신경은 안쪽 동맥점(cLU)의 구조물이다. 김재효 데이터셋은 가쪽 정위와 맞는 근피신경 계열로 일관됨</t>
        </is>
      </c>
    </row>
    <row r="5">
      <c r="A5" s="3" t="inlineStr">
        <is>
          <t>혈관</t>
        </is>
      </c>
      <c r="B5" s="3" t="inlineStr">
        <is>
          <t>위팔동·정맥, 노쪽피부정맥</t>
        </is>
      </c>
      <c r="C5" s="3" t="inlineStr">
        <is>
          <t>노쪽피부정맥</t>
        </is>
      </c>
      <c r="D5" s="3" t="inlineStr">
        <is>
          <t>공통교재의 위팔동·정맥 역시 안쪽 동맥점의 구조물이다. 노쪽피부정맥은 두 교재 공통</t>
        </is>
      </c>
    </row>
    <row r="6">
      <c r="A6" s="3" t="inlineStr">
        <is>
          <t>판정</t>
        </is>
      </c>
      <c r="B6" s="3" t="inlineStr">
        <is>
          <t>혼합형: 가쪽 정위 위에 고전 동맥점의 구조물(정중신경·위팔동맥)이 섞여 있음</t>
        </is>
      </c>
      <c r="C6" s="3" t="inlineStr">
        <is>
          <t>가쪽 정위 일관형</t>
        </is>
      </c>
      <c r="D6" s="3" t="inlineStr">
        <is>
          <t>공통교재의 혼합은 황룡상이 지적한 "부위는 바뀌었는데 층차해부는 고전을 따른다"는 명실분리가 교재 수준에서 재현된 사례다. 《穴位通鉴》에 인용된 1930~40년대 《高等针灸学讲义》·《中华针灸学》의 "循上膊動脈…分布正中神經" 기술이 계승된 것으로 추정됨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4" customWidth="1" min="1" max="1"/>
    <col width="66" customWidth="1" min="2" max="2"/>
    <col width="66" customWidth="1" min="3" max="3"/>
    <col width="66" customWidth="1" min="4" max="4"/>
  </cols>
  <sheetData>
    <row r="1">
      <c r="A1" s="1" t="inlineStr">
        <is>
          <t>7. 공간 변위 분기 추론 (Dual-Target Bifurcation)</t>
        </is>
      </c>
    </row>
    <row r="2">
      <c r="A2" s="2" t="inlineStr">
        <is>
          <t>쟁점</t>
        </is>
      </c>
      <c r="B2" s="2" t="inlineStr">
        <is>
          <t>송석모(2022)</t>
        </is>
      </c>
      <c r="C2" s="2" t="inlineStr">
        <is>
          <t>황룡상 《针灸腧穴通考》</t>
        </is>
      </c>
      <c r="D2" s="2" t="inlineStr">
        <is>
          <t>본 보고서 판정</t>
        </is>
      </c>
    </row>
    <row r="3">
      <c r="A3" s="3" t="inlineStr">
        <is>
          <t>고전 천부·협백의 실체</t>
        </is>
      </c>
      <c r="B3" s="3" t="inlineStr">
        <is>
          <t>위팔동맥 박동점(안쪽)</t>
        </is>
      </c>
      <c r="C3" s="3" t="inlineStr">
        <is>
          <t>위팔동맥 박동점(안쪽). 오늘날 수소음경 부위에 해당</t>
        </is>
      </c>
      <c r="D3" s="3" t="inlineStr">
        <is>
          <t>일치. 확정</t>
        </is>
      </c>
    </row>
    <row r="4">
      <c r="A4" s="3" t="inlineStr">
        <is>
          <t>《灵枢·经脉》 "下循臑內"</t>
        </is>
      </c>
      <c r="B4" s="3" t="inlineStr">
        <is>
          <t>위팔 안쪽 = 위팔동맥 노선</t>
        </is>
      </c>
      <c r="C4" s="3" t="inlineStr">
        <is>
          <t>帛書보다 노쪽으로 이동한 단계 ("已較…移向上臂橈側"). 혈위 정위는 이를 늦게 따라감</t>
        </is>
      </c>
      <c r="D4" s="3" t="inlineStr">
        <is>
          <t>해석 분기. "行少陰心主之前"이 노쪽 이동을 시사한다는 황룡상의 견해를 배제할 수 없음</t>
        </is>
      </c>
    </row>
    <row r="5">
      <c r="A5" s="3" t="inlineStr">
        <is>
          <t>가쪽으로 바뀐 경위</t>
        </is>
      </c>
      <c r="B5" s="3" t="inlineStr">
        <is>
          <t>20세기 중반 이후. 동맥 기재가 빠지고 간편취혈법(팔을 들어 코끝이 닿는 곳)의 모호성 때문에 오인했다는 추정</t>
        </is>
      </c>
      <c r="C5" s="3" t="inlineStr">
        <is>
          <t>明正统铜人이 이미 굽힘면 노쪽에 표시. 해부학 용어로 "외측연"을 처음 쓴 것은 일본 침구서. 중국 교재는 4판부터</t>
        </is>
      </c>
      <c r="D5" s="3" t="inlineStr">
        <is>
          <t>다원적 경위. 기존 비교보고서의 "1950년대 비묵인비 자세 오인" 단일 원인설은 두 출처 모두 그렇게 단정하지 않으므로 수정함</t>
        </is>
      </c>
    </row>
    <row r="6">
      <c r="A6" s="3" t="inlineStr">
        <is>
          <t>처방</t>
        </is>
      </c>
      <c r="B6" s="3" t="inlineStr">
        <is>
          <t>WHO 위치를 오류로 보고 안쪽 동맥점으로 복원</t>
        </is>
      </c>
      <c r="C6" s="3" t="inlineStr">
        <is>
          <t>현대 위치를 인정하고 주치·자법·층차해부를 새 위치에 맞게 고침 (天府는 비부·상완 국소 위주, 폐 증상은 부차적으로)</t>
        </is>
      </c>
      <c r="D6" s="3" t="inlineStr">
        <is>
          <t>이원 타깃 병존: 고전 주치는 cLU에, 국소 주치는 pLU에 귀속. 표준 개정 여부는 학계 판단 사항으로 남김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6" customWidth="1" min="1" max="1"/>
    <col width="66" customWidth="1" min="2" max="2"/>
    <col width="66" customWidth="1" min="3" max="3"/>
    <col width="12.1" customWidth="1" min="4" max="4"/>
  </cols>
  <sheetData>
    <row r="1">
      <c r="A1" s="1" t="inlineStr">
        <is>
          <t>8. 생의학적 반사 기전 (Rank 6: Dual-Layer Refinement) — 8.1 Layer A: 마스터 DB 대조 (경혈_생의학_신경반사_마스터DB.json)</t>
        </is>
      </c>
    </row>
    <row r="2">
      <c r="A2" s="2" t="inlineStr">
        <is>
          <t>경혈</t>
        </is>
      </c>
      <c r="B2" s="2" t="inlineStr">
        <is>
          <t>역색인 논문 수</t>
        </is>
      </c>
      <c r="C2" s="2" t="inlineStr">
        <is>
          <t>내용</t>
        </is>
      </c>
      <c r="D2" s="2" t="inlineStr">
        <is>
          <t>실측 생리·임상 논문</t>
        </is>
      </c>
    </row>
    <row r="3">
      <c r="A3" s="3" t="inlineStr">
        <is>
          <t>LU3</t>
        </is>
      </c>
      <c r="B3" s="3" t="inlineStr">
        <is>
          <t>13</t>
        </is>
      </c>
      <c r="C3" s="3" t="inlineStr">
        <is>
          <t>황룡상(1986~2006) 문헌사 연구 7편, 卜彦青(2010), 李素云·黄龙祥(2006), 송석모(2022), 이준무(2001, 수태음경근), 김상범(2014) 등</t>
        </is>
      </c>
      <c r="D3" s="3" t="inlineStr">
        <is>
          <t>0</t>
        </is>
      </c>
    </row>
    <row r="4">
      <c r="A4" s="3" t="inlineStr">
        <is>
          <t>LU4</t>
        </is>
      </c>
      <c r="B4" s="3" t="inlineStr">
        <is>
          <t>1</t>
        </is>
      </c>
      <c r="C4" s="3" t="inlineStr">
        <is>
          <t>송석모(2022)</t>
        </is>
      </c>
      <c r="D4" s="3" t="inlineStr">
        <is>
          <t>0</t>
        </is>
      </c>
    </row>
    <row r="5"/>
    <row r="6">
      <c r="A6" s="1" t="inlineStr">
        <is>
          <t>8. 생의학적 반사 기전 (Rank 6: Dual-Layer Refinement) — 8.2 Layer B: 공인 해부·생리 모델 대조</t>
        </is>
      </c>
    </row>
    <row r="7">
      <c r="A7" s="2" t="inlineStr">
        <is>
          <t>가설</t>
        </is>
      </c>
      <c r="B7" s="2" t="inlineStr">
        <is>
          <t>근거 구조</t>
        </is>
      </c>
      <c r="C7" s="2" t="inlineStr">
        <is>
          <t>정합성 평가</t>
        </is>
      </c>
    </row>
    <row r="8">
      <c r="A8" s="3" t="inlineStr">
        <is>
          <t>H1. cLU4–心痛 (분절 수렴)</t>
        </is>
      </c>
      <c r="B8" s="3" t="inlineStr">
        <is>
          <t>심장 구심섬유는 T1~T4(T5) 척수로 들어간다. 위팔 안쪽 피부(안쪽위팔피부신경 T1, 갈비사이위팔신경 T2)는 협심통 연관통이 퍼지는 대표 부위다(Head zone, 내장-체성 수렴). cLU4 피부층은 이 T1~T2 분절에 속한다</t>
        </is>
      </c>
      <c r="C8" s="3" t="inlineStr">
        <is>
          <t>분절 일치 높음. 고전 "心痛, 侠白主之"와 위팔 안쪽 위치가 해부학적으로 맞아떨어진다. 다만 자극 효과(체성→심장 반사)는 Sato 계열의 분절성 체성-자율신경 반사 모델에서 유추한 가설</t>
        </is>
      </c>
    </row>
    <row r="9">
      <c r="A9" s="3" t="inlineStr">
        <is>
          <t>H2. pLU4–心痛</t>
        </is>
      </c>
      <c r="B9" s="3" t="inlineStr">
        <is>
          <t>가쪽 피부는 C5~C6 분절이다</t>
        </is>
      </c>
      <c r="C9" s="3" t="inlineStr">
        <is>
          <t>분절 불일치. WHO점에 心痛 주치를 그대로 귀속하는 근거가 약하다. 황룡상의 명실분리 지적을 생리학적으로 뒷받침함</t>
        </is>
      </c>
    </row>
    <row r="10">
      <c r="A10" s="3" t="inlineStr">
        <is>
          <t>H3. cLU3–鼻衄</t>
        </is>
      </c>
      <c r="B10" s="3" t="inlineStr">
        <is>
          <t>머리·코점막의 교감신경 절전섬유는 T1~T3 → 위목신경절 → 코점막 혈관수축으로 이어진다. cLU3 피부·혈관주위 구조는 T1~T2 분절과 겹친다</t>
        </is>
      </c>
      <c r="C10" s="3" t="inlineStr">
        <is>
          <t>부분 정합, 가설 수준. 단, 황룡상은 天府의 비뉵·폐 주치가 "天府脈"을 진단(맥후)하던 데서 유래했다고 본다. 즉 자극 효과의 증거라기보다 진단 부위의 병후일 수 있음</t>
        </is>
      </c>
    </row>
    <row r="11">
      <c r="A11" s="3" t="inlineStr">
        <is>
          <t>H4. pLU3/pLU4–상완 국소통</t>
        </is>
      </c>
      <c r="B11" s="3" t="inlineStr">
        <is>
          <t>위팔두갈래근 근막통증유발점, 근피신경 운동점 (Travell &amp; Simons, *Myofascial Pain and Dysfunction*, 서적)</t>
        </is>
      </c>
      <c r="C11" s="3" t="inlineStr">
        <is>
          <t>정합. 국소 효과로는 타당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.8" customWidth="1" min="1" max="1"/>
    <col width="19.8" customWidth="1" min="2" max="2"/>
    <col width="51.7" customWidth="1" min="3" max="3"/>
    <col width="22" customWidth="1" min="4" max="4"/>
    <col width="27.5" customWidth="1" min="5" max="5"/>
  </cols>
  <sheetData>
    <row r="1">
      <c r="A1" s="1" t="inlineStr">
        <is>
          <t>9. 주치증 분리 표 (P_single vs 배오)</t>
        </is>
      </c>
    </row>
    <row r="2">
      <c r="A2" s="2" t="inlineStr">
        <is>
          <t>경혈</t>
        </is>
      </c>
      <c r="B2" s="2" t="inlineStr">
        <is>
          <t>주치</t>
        </is>
      </c>
      <c r="C2" s="2" t="inlineStr">
        <is>
          <t>출전</t>
        </is>
      </c>
      <c r="D2" s="2" t="inlineStr">
        <is>
          <t>구분</t>
        </is>
      </c>
      <c r="E2" s="2" t="inlineStr">
        <is>
          <t>귀속 타깃</t>
        </is>
      </c>
    </row>
    <row r="3">
      <c r="A3" s="3" t="inlineStr">
        <is>
          <t>천부</t>
        </is>
      </c>
      <c r="B3" s="3" t="inlineStr">
        <is>
          <t>鼻衄·血溢鼻口</t>
        </is>
      </c>
      <c r="C3" s="3" t="inlineStr">
        <is>
          <t>《灵枢·寒热病》 "取天府"(단독), 《外台》 臂脈 灸(단독), 《铜人》 "今附刺鼻衄"</t>
        </is>
      </c>
      <c r="D3" s="3" t="inlineStr">
        <is>
          <t>P_single</t>
        </is>
      </c>
      <c r="E3" s="3" t="inlineStr">
        <is>
          <t>cLU3</t>
        </is>
      </c>
    </row>
    <row r="4">
      <c r="A4" s="3" t="inlineStr">
        <is>
          <t>천부</t>
        </is>
      </c>
      <c r="B4" s="3" t="inlineStr">
        <is>
          <t>咳·上氣·喘不得息·逆息不得臥</t>
        </is>
      </c>
      <c r="C4" s="3" t="inlineStr">
        <is>
          <t>《甲乙》 "天府主之"</t>
        </is>
      </c>
      <c r="D4" s="3" t="inlineStr">
        <is>
          <t>P_single</t>
        </is>
      </c>
      <c r="E4" s="3" t="inlineStr">
        <is>
          <t>cLU3</t>
        </is>
      </c>
    </row>
    <row r="5">
      <c r="A5" s="3" t="inlineStr">
        <is>
          <t>천부</t>
        </is>
      </c>
      <c r="B5" s="3" t="inlineStr">
        <is>
          <t>恍惚善忘·嗜臥, 悲泣鬼語, 卒中惡</t>
        </is>
      </c>
      <c r="C5" s="3" t="inlineStr">
        <is>
          <t>《明堂》, 《千金》 佚名明堂 灸方</t>
        </is>
      </c>
      <c r="D5" s="3" t="inlineStr">
        <is>
          <t>P_single (灸)</t>
        </is>
      </c>
      <c r="E5" s="3" t="inlineStr">
        <is>
          <t>cLU3</t>
        </is>
      </c>
    </row>
    <row r="6">
      <c r="A6" s="3" t="inlineStr">
        <is>
          <t>천부</t>
        </is>
      </c>
      <c r="B6" s="3" t="inlineStr">
        <is>
          <t>鼻衄</t>
        </is>
      </c>
      <c r="C6" s="3" t="inlineStr">
        <is>
          <t>《百证赋》 "天府合谷"</t>
        </is>
      </c>
      <c r="D6" s="3" t="inlineStr">
        <is>
          <t>배오</t>
        </is>
      </c>
      <c r="E6" s="3" t="inlineStr">
        <is>
          <t>—</t>
        </is>
      </c>
    </row>
    <row r="7">
      <c r="A7" s="3" t="inlineStr">
        <is>
          <t>천부</t>
        </is>
      </c>
      <c r="B7" s="3" t="inlineStr">
        <is>
          <t>瘿</t>
        </is>
      </c>
      <c r="C7" s="3" t="inlineStr">
        <is>
          <t>《千金翼》 "灸天府五十壯，又灸胸堂百壯", 《聚英》 등은 《资生经》 전록</t>
        </is>
      </c>
      <c r="D7" s="3" t="inlineStr">
        <is>
          <t>배오 / 전록</t>
        </is>
      </c>
      <c r="E7" s="3" t="inlineStr">
        <is>
          <t>—</t>
        </is>
      </c>
    </row>
    <row r="8">
      <c r="A8" s="3" t="inlineStr">
        <is>
          <t>천부</t>
        </is>
      </c>
      <c r="B8" s="3" t="inlineStr">
        <is>
          <t>目疾·瘰疬·紫白癜風</t>
        </is>
      </c>
      <c r="C8" s="3" t="inlineStr">
        <is>
          <t>《圣惠》·窦太师 계열, 《针灸集成》 처방</t>
        </is>
      </c>
      <c r="D8" s="3" t="inlineStr">
        <is>
          <t>후대 증보·배오</t>
        </is>
      </c>
      <c r="E8" s="3" t="inlineStr">
        <is>
          <t>위치 불명 (《通考》: 안쪽·가쪽 판단 불가)</t>
        </is>
      </c>
    </row>
    <row r="9">
      <c r="A9" s="3" t="inlineStr">
        <is>
          <t>천부</t>
        </is>
      </c>
      <c r="B9" s="3" t="inlineStr">
        <is>
          <t>上臂痛·臑痛</t>
        </is>
      </c>
      <c r="C9" s="3" t="inlineStr">
        <is>
          <t>《循经考穴编》, 현대 교재</t>
        </is>
      </c>
      <c r="D9" s="3" t="inlineStr">
        <is>
          <t>P_single (국소)</t>
        </is>
      </c>
      <c r="E9" s="3" t="inlineStr">
        <is>
          <t>pLU3</t>
        </is>
      </c>
    </row>
    <row r="10">
      <c r="A10" s="3" t="inlineStr">
        <is>
          <t>협백</t>
        </is>
      </c>
      <c r="B10" s="3" t="inlineStr">
        <is>
          <t>心痛</t>
        </is>
      </c>
      <c r="C10" s="3" t="inlineStr">
        <is>
          <t>《甲乙》 "心痛，侠白主之"</t>
        </is>
      </c>
      <c r="D10" s="3" t="inlineStr">
        <is>
          <t>P_single</t>
        </is>
      </c>
      <c r="E10" s="3" t="inlineStr">
        <is>
          <t>cLU4</t>
        </is>
      </c>
    </row>
    <row r="11">
      <c r="A11" s="3" t="inlineStr">
        <is>
          <t>협백</t>
        </is>
      </c>
      <c r="B11" s="3" t="inlineStr">
        <is>
          <t>咳·乾嘔·煩滿</t>
        </is>
      </c>
      <c r="C11" s="3" t="inlineStr">
        <is>
          <t>《甲乙》 "侠白主之"</t>
        </is>
      </c>
      <c r="D11" s="3" t="inlineStr">
        <is>
          <t>P_single</t>
        </is>
      </c>
      <c r="E11" s="3" t="inlineStr">
        <is>
          <t>cLU4</t>
        </is>
      </c>
    </row>
    <row r="12">
      <c r="A12" s="3" t="inlineStr">
        <is>
          <t>협백</t>
        </is>
      </c>
      <c r="B12" s="3" t="inlineStr">
        <is>
          <t>心痛短氣</t>
        </is>
      </c>
      <c r="C12" s="3" t="inlineStr">
        <is>
          <t>《千金》 "期門、長強、天突、侠白、中衝主心痛短氣"</t>
        </is>
      </c>
      <c r="D12" s="3" t="inlineStr">
        <is>
          <t>배오 (《通考》: 侠白 원문이 아님)</t>
        </is>
      </c>
      <c r="E12" s="3" t="inlineStr">
        <is>
          <t>—</t>
        </is>
      </c>
    </row>
    <row r="13">
      <c r="A13" s="3" t="inlineStr">
        <is>
          <t>협백</t>
        </is>
      </c>
      <c r="B13" s="3" t="inlineStr">
        <is>
          <t>紫白癜風·赤白汗斑</t>
        </is>
      </c>
      <c r="C13" s="3" t="inlineStr">
        <is>
          <t>《循经考穴编》, 《古今医统》 灸夾白</t>
        </is>
      </c>
      <c r="D13" s="3" t="inlineStr">
        <is>
          <t>후대 증보 (단독 灸)</t>
        </is>
      </c>
      <c r="E13" s="3" t="inlineStr">
        <is>
          <t>불명</t>
        </is>
      </c>
    </row>
    <row r="14">
      <c r="A14" s="3" t="inlineStr">
        <is>
          <t>협백</t>
        </is>
      </c>
      <c r="B14" s="3" t="inlineStr">
        <is>
          <t>上臂痛</t>
        </is>
      </c>
      <c r="C14" s="3" t="inlineStr">
        <is>
          <t>현대 교재</t>
        </is>
      </c>
      <c r="D14" s="3" t="inlineStr">
        <is>
          <t>P_single (국소)</t>
        </is>
      </c>
      <c r="E14" s="3" t="inlineStr">
        <is>
          <t>pLU4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.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6" customWidth="1" min="8" max="8"/>
  </cols>
  <sheetData>
    <row r="1">
      <c r="A1" s="1" t="inlineStr">
        <is>
          <t>10. ARI 정량 평가표 및 최종 결론</t>
        </is>
      </c>
    </row>
    <row r="2">
      <c r="A2" s="2" t="inlineStr">
        <is>
          <t>타깃</t>
        </is>
      </c>
      <c r="B2" s="2" t="inlineStr">
        <is>
          <t>S_orig</t>
        </is>
      </c>
      <c r="C2" s="2" t="inlineStr">
        <is>
          <t>S_clarity</t>
        </is>
      </c>
      <c r="D2" s="2" t="inlineStr">
        <is>
          <t>S_reflex</t>
        </is>
      </c>
      <c r="E2" s="2" t="inlineStr">
        <is>
          <t>S_safety</t>
        </is>
      </c>
      <c r="F2" s="2" t="inlineStr">
        <is>
          <t>ARI</t>
        </is>
      </c>
      <c r="G2" s="2" t="inlineStr">
        <is>
          <t>등급</t>
        </is>
      </c>
      <c r="H2" s="2" t="inlineStr">
        <is>
          <t>산출 근거</t>
        </is>
      </c>
    </row>
    <row r="3">
      <c r="A3" s="3" t="inlineStr">
        <is>
          <t>cLU3 고전 천부</t>
        </is>
      </c>
      <c r="B3" s="3" t="inlineStr">
        <is>
          <t>95</t>
        </is>
      </c>
      <c r="C3" s="3" t="inlineStr">
        <is>
          <t>90</t>
        </is>
      </c>
      <c r="D3" s="3" t="inlineStr">
        <is>
          <t>60</t>
        </is>
      </c>
      <c r="E3" s="3" t="inlineStr">
        <is>
          <t>70</t>
        </is>
      </c>
      <c r="F3" s="3" t="inlineStr">
        <is>
          <t>82.75</t>
        </is>
      </c>
      <c r="G3" s="3" t="inlineStr">
        <is>
          <t>B+</t>
        </is>
      </c>
      <c r="H3" s="3" t="inlineStr">
        <is>
          <t>《甲乙》·《明堂》 일관, 28/36 문헌이 동맥 기재 / 맥박 지표 명확 / Layer A 0편, H3 가설 / 위팔동맥·정중신경 근접</t>
        </is>
      </c>
    </row>
    <row r="4">
      <c r="A4" s="3" t="inlineStr">
        <is>
          <t>cLU4 고전 협백</t>
        </is>
      </c>
      <c r="B4" s="3" t="inlineStr">
        <is>
          <t>92</t>
        </is>
      </c>
      <c r="C4" s="3" t="inlineStr">
        <is>
          <t>88</t>
        </is>
      </c>
      <c r="D4" s="3" t="inlineStr">
        <is>
          <t>60</t>
        </is>
      </c>
      <c r="E4" s="3" t="inlineStr">
        <is>
          <t>70</t>
        </is>
      </c>
      <c r="F4" s="3" t="inlineStr">
        <is>
          <t>81.10</t>
        </is>
      </c>
      <c r="G4" s="3" t="inlineStr">
        <is>
          <t>B+</t>
        </is>
      </c>
      <c r="H4" s="3" t="inlineStr">
        <is>
          <t>"去肘五寸動脈中" / 천부 기준 의존 / H1 분절 일치이나 실측 없음 / 같음</t>
        </is>
      </c>
    </row>
    <row r="5">
      <c r="A5" s="3" t="inlineStr">
        <is>
          <t>pLU3 WHO 천부</t>
        </is>
      </c>
      <c r="B5" s="3" t="inlineStr">
        <is>
          <t>45</t>
        </is>
      </c>
      <c r="C5" s="3" t="inlineStr">
        <is>
          <t>85</t>
        </is>
      </c>
      <c r="D5" s="3" t="inlineStr">
        <is>
          <t>55</t>
        </is>
      </c>
      <c r="E5" s="3" t="inlineStr">
        <is>
          <t>92</t>
        </is>
      </c>
      <c r="F5" s="3" t="inlineStr">
        <is>
          <t>66.05</t>
        </is>
      </c>
      <c r="G5" s="3" t="inlineStr">
        <is>
          <t>C</t>
        </is>
      </c>
      <c r="H5" s="3" t="inlineStr">
        <is>
          <t>고전 문자 근거 없음(明 铜人 도상만) / 근육 지표 명확, 두 교재 정합 / H4 국소만 / 근육층으로 안전</t>
        </is>
      </c>
    </row>
    <row r="6">
      <c r="A6" s="3" t="inlineStr">
        <is>
          <t>pLU4 WHO 협백</t>
        </is>
      </c>
      <c r="B6" s="3" t="inlineStr">
        <is>
          <t>45</t>
        </is>
      </c>
      <c r="C6" s="3" t="inlineStr">
        <is>
          <t>85</t>
        </is>
      </c>
      <c r="D6" s="3" t="inlineStr">
        <is>
          <t>55</t>
        </is>
      </c>
      <c r="E6" s="3" t="inlineStr">
        <is>
          <t>92</t>
        </is>
      </c>
      <c r="F6" s="3" t="inlineStr">
        <is>
          <t>66.05</t>
        </is>
      </c>
      <c r="G6" s="3" t="inlineStr">
        <is>
          <t>C</t>
        </is>
      </c>
      <c r="H6" s="3" t="inlineStr">
        <is>
          <t>같음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.8" customWidth="1" min="1" max="1"/>
    <col width="12" customWidth="1" min="2" max="2"/>
    <col width="51.7" customWidth="1" min="3" max="3"/>
    <col width="56.1" customWidth="1" min="4" max="4"/>
    <col width="25.3" customWidth="1" min="5" max="5"/>
  </cols>
  <sheetData>
    <row r="1">
      <c r="A1" s="1" t="inlineStr">
        <is>
          <t>11. 정정 감사표 (통합 과정에서 바로잡은 사항)</t>
        </is>
      </c>
    </row>
    <row r="2">
      <c r="A2" s="2" t="inlineStr">
        <is>
          <t>#</t>
        </is>
      </c>
      <c r="B2" s="2" t="inlineStr">
        <is>
          <t>원 보고서</t>
        </is>
      </c>
      <c r="C2" s="2" t="inlineStr">
        <is>
          <t>기존 기술</t>
        </is>
      </c>
      <c r="D2" s="2" t="inlineStr">
        <is>
          <t>원전·데이터 대조 결과</t>
        </is>
      </c>
      <c r="E2" s="2" t="inlineStr">
        <is>
          <t>처리</t>
        </is>
      </c>
    </row>
    <row r="3">
      <c r="A3" s="3" t="inlineStr">
        <is>
          <t>:-:</t>
        </is>
      </c>
      <c r="B3" s="3" t="inlineStr">
        <is>
          <t>:---</t>
        </is>
      </c>
      <c r="C3" s="3" t="inlineStr">
        <is>
          <t>:---</t>
        </is>
      </c>
      <c r="D3" s="3" t="inlineStr">
        <is>
          <t>:---</t>
        </is>
      </c>
      <c r="E3" s="3" t="inlineStr">
        <is>
          <t>:---</t>
        </is>
      </c>
    </row>
    <row r="4">
      <c r="A4" s="3" t="inlineStr">
        <is>
          <t>1</t>
        </is>
      </c>
      <c r="B4" s="3" t="inlineStr">
        <is>
          <t>LU03</t>
        </is>
      </c>
      <c r="C4" s="3" t="inlineStr">
        <is>
          <t>Δ ≈ 3mm, 단일 타깃</t>
        </is>
      </c>
      <c r="D4" s="3" t="inlineStr">
        <is>
          <t>《通考》 "今之天府已非古之天府". 안쪽 동맥점과 가쪽 모서리는 Δ ≈ 29mm</t>
        </is>
      </c>
      <c r="E4" s="3" t="inlineStr">
        <is>
          <t>이원 분기로 정정</t>
        </is>
      </c>
    </row>
    <row r="5">
      <c r="A5" s="3" t="inlineStr">
        <is>
          <t>2</t>
        </is>
      </c>
      <c r="B5" s="3" t="inlineStr">
        <is>
          <t>LU03</t>
        </is>
      </c>
      <c r="C5" s="3" t="inlineStr">
        <is>
          <t>자침 "鍼三分 (甲乙經, 千金方)"</t>
        </is>
      </c>
      <c r="D5" s="3" t="inlineStr">
        <is>
          <t>《甲乙》·《明堂》은 "刺入四分，留三呼". 3분은 《铜人》·《医学入门》</t>
        </is>
      </c>
      <c r="E5" s="3" t="inlineStr">
        <is>
          <t>정정</t>
        </is>
      </c>
    </row>
    <row r="6">
      <c r="A6" s="3" t="inlineStr">
        <is>
          <t>3</t>
        </is>
      </c>
      <c r="B6" s="3" t="inlineStr">
        <is>
          <t>LU03</t>
        </is>
      </c>
      <c r="C6" s="3" t="inlineStr">
        <is>
          <t>이명 없음</t>
        </is>
      </c>
      <c r="D6" s="3" t="inlineStr">
        <is>
          <t>KJH DB는 '天會'. 《穴位通鉴》은 无</t>
        </is>
      </c>
      <c r="E6" s="3" t="inlineStr">
        <is>
          <t>이견 병기</t>
        </is>
      </c>
    </row>
    <row r="7">
      <c r="A7" s="3" t="inlineStr">
        <is>
          <t>4</t>
        </is>
      </c>
      <c r="B7" s="3" t="inlineStr">
        <is>
          <t>LU03</t>
        </is>
      </c>
      <c r="C7" s="3" t="inlineStr">
        <is>
          <t>실체 = 가쪽고랑 근피신경 (고전·현대 공통)</t>
        </is>
      </c>
      <c r="D7" s="3" t="inlineStr">
        <is>
          <t>고전 실체는 위팔동맥. 가쪽은 현대점에만 해당</t>
        </is>
      </c>
      <c r="E7" s="3" t="inlineStr">
        <is>
          <t>정정</t>
        </is>
      </c>
    </row>
    <row r="8">
      <c r="A8" s="3" t="inlineStr">
        <is>
          <t>5</t>
        </is>
      </c>
      <c r="B8" s="3" t="inlineStr">
        <is>
          <t>LU03 xlsx</t>
        </is>
      </c>
      <c r="C8" s="3" t="inlineStr">
        <is>
          <t>PMID 8937575 = Lacroix/Lundberg 1996</t>
        </is>
      </c>
      <c r="D8" s="3" t="inlineStr">
        <is>
          <t>실제로는 Chen &amp; Nelson, *Anal Biochem* 1996 (무관)</t>
        </is>
      </c>
      <c r="E8" s="3" t="inlineStr">
        <is>
          <t>삭제</t>
        </is>
      </c>
    </row>
    <row r="9">
      <c r="A9" s="3" t="inlineStr">
        <is>
          <t>6</t>
        </is>
      </c>
      <c r="B9" s="3" t="inlineStr">
        <is>
          <t>LU03 xlsx</t>
        </is>
      </c>
      <c r="C9" s="3" t="inlineStr">
        <is>
          <t>문헌스크리닝 셀에 파싱 원문 덤프(목차 조각) 혼입</t>
        </is>
      </c>
      <c r="D9" s="3" t="inlineStr">
        <is>
          <t>—</t>
        </is>
      </c>
      <c r="E9" s="3" t="inlineStr">
        <is>
          <t>정제된 원문으로 교체</t>
        </is>
      </c>
    </row>
    <row r="10">
      <c r="A10" s="3" t="inlineStr">
        <is>
          <t>7</t>
        </is>
      </c>
      <c r="B10" s="3" t="inlineStr">
        <is>
          <t>LU04</t>
        </is>
      </c>
      <c r="C10" s="3" t="inlineStr">
        <is>
          <t>이명 "白雄"</t>
        </is>
      </c>
      <c r="D10" s="3" t="inlineStr">
        <is>
          <t>KJH '–', 《穴位通鉴》 别名无</t>
        </is>
      </c>
      <c r="E10" s="3" t="inlineStr">
        <is>
          <t>삭제</t>
        </is>
      </c>
    </row>
    <row r="11">
      <c r="A11" s="3" t="inlineStr">
        <is>
          <t>8</t>
        </is>
      </c>
      <c r="B11" s="3" t="inlineStr">
        <is>
          <t>LU04</t>
        </is>
      </c>
      <c r="C11" s="3" t="inlineStr">
        <is>
          <t>《甲乙》 "刺入三分，留五呼"</t>
        </is>
      </c>
      <c r="D11" s="3" t="inlineStr">
        <is>
          <t>《甲乙》 "刺入四分，留三呼，灸七壯". 3분은 《铜人》</t>
        </is>
      </c>
      <c r="E11" s="3" t="inlineStr">
        <is>
          <t>정정</t>
        </is>
      </c>
    </row>
    <row r="12">
      <c r="A12" s="3" t="inlineStr">
        <is>
          <t>9</t>
        </is>
      </c>
      <c r="B12" s="3" t="inlineStr">
        <is>
          <t>LU04</t>
        </is>
      </c>
      <c r="C12" s="3" t="inlineStr">
        <is>
          <t>《通考》 원문 "在天府下一寸, 臂二頭肌動脈處"</t>
        </is>
      </c>
      <c r="D12" s="3" t="inlineStr">
        <is>
          <t>《通考》에 해당 문장 없음</t>
        </is>
      </c>
      <c r="E12" s="3" t="inlineStr">
        <is>
          <t>삭제 (실제 문장으로 교체)</t>
        </is>
      </c>
    </row>
    <row r="13">
      <c r="A13" s="3" t="inlineStr">
        <is>
          <t>10</t>
        </is>
      </c>
      <c r="B13" s="3" t="inlineStr">
        <is>
          <t>LU04</t>
        </is>
      </c>
      <c r="C13" s="3" t="inlineStr">
        <is>
          <t>《영추·본수》 "天府下一寸" (협백)</t>
        </is>
      </c>
      <c r="D13" s="3" t="inlineStr">
        <is>
          <t>《本输》에는 天府(맥명)만 있음. 협백은 《明堂》/《甲乙》이 원출처</t>
        </is>
      </c>
      <c r="E13" s="3" t="inlineStr">
        <is>
          <t>정정</t>
        </is>
      </c>
    </row>
    <row r="14">
      <c r="A14" s="3" t="inlineStr">
        <is>
          <t>11</t>
        </is>
      </c>
      <c r="B14" s="3" t="inlineStr">
        <is>
          <t>LU04</t>
        </is>
      </c>
      <c r="C14" s="3" t="inlineStr">
        <is>
          <t>"22대 Master ASIA Algorithm", Δ &gt; 1.5cm 근거 미기재</t>
        </is>
      </c>
      <c r="D14" s="3" t="inlineStr">
        <is>
          <t>현행 프레임워크는 v2.6 Rank 0~7</t>
        </is>
      </c>
      <c r="E14" s="3" t="inlineStr">
        <is>
          <t>프레임워크 용어로 통일</t>
        </is>
      </c>
    </row>
    <row r="15">
      <c r="A15" s="3" t="inlineStr">
        <is>
          <t>12</t>
        </is>
      </c>
      <c r="B15" s="3" t="inlineStr">
        <is>
          <t>비교분석</t>
        </is>
      </c>
      <c r="C15" s="3" t="inlineStr">
        <is>
          <t>송석모 DOI 10.14406/acu.2022.028, pp.173-183</t>
        </is>
      </c>
      <c r="D15" s="3" t="inlineStr">
        <is>
          <t>논문 원문: 10.14406/acu.2022.024, pp.172-183</t>
        </is>
      </c>
      <c r="E15" s="3" t="inlineStr">
        <is>
          <t>정정</t>
        </is>
      </c>
    </row>
    <row r="16">
      <c r="A16" s="3" t="inlineStr">
        <is>
          <t>13</t>
        </is>
      </c>
      <c r="B16" s="3" t="inlineStr">
        <is>
          <t>비교분석</t>
        </is>
      </c>
      <c r="C16" s="3" t="inlineStr">
        <is>
          <t>1950년대 "비묵인비법 자세 혼동"이 원인 (단정)</t>
        </is>
      </c>
      <c r="D16" s="3" t="inlineStr">
        <is>
          <t>송석모는 간편취혈법 모호성을 추정으로 제시. 황룡상은 明 铜人·일본서·4판 교재의 다원 경위</t>
        </is>
      </c>
      <c r="E16" s="3" t="inlineStr">
        <is>
          <t>정정</t>
        </is>
      </c>
    </row>
    <row r="17">
      <c r="A17" s="3" t="inlineStr">
        <is>
          <t>14</t>
        </is>
      </c>
      <c r="B17" s="3" t="inlineStr">
        <is>
          <t>비교분석</t>
        </is>
      </c>
      <c r="C17" s="3" t="inlineStr">
        <is>
          <t>송석모 논문이 "황룡상 실증주의와 100% 일치"</t>
        </is>
      </c>
      <c r="D17" s="3" t="inlineStr">
        <is>
          <t>진단은 일치하나 처방(복원 vs 주치 개정)은 다름</t>
        </is>
      </c>
      <c r="E17" s="3" t="inlineStr">
        <is>
          <t>정정</t>
        </is>
      </c>
    </row>
    <row r="18">
      <c r="A18" s="3" t="inlineStr">
        <is>
          <t>15</t>
        </is>
      </c>
      <c r="B18" s="3" t="inlineStr">
        <is>
          <t>비교분석</t>
        </is>
      </c>
      <c r="C18" s="3" t="inlineStr">
        <is>
          <t>문헌·공간 타당도 "100%", 생의학 "95%"</t>
        </is>
      </c>
      <c r="D18" s="3" t="inlineStr">
        <is>
          <t>Layer A 실측 0편이므로 정량 백분율의 근거가 없음</t>
        </is>
      </c>
      <c r="E18" s="3" t="inlineStr">
        <is>
          <t>정성 판정으로 대체</t>
        </is>
      </c>
    </row>
    <row r="19">
      <c r="A19" s="3" t="inlineStr">
        <is>
          <t>16</t>
        </is>
      </c>
      <c r="B19" s="3" t="inlineStr">
        <is>
          <t>비교분석</t>
        </is>
      </c>
      <c r="C19" s="3" t="inlineStr">
        <is>
          <t>cLU 자침: "동맥벽을 스치듯이 사침"</t>
        </is>
      </c>
      <c r="D19" s="3" t="inlineStr">
        <is>
          <t>위팔동맥·정중신경 손상 위험</t>
        </is>
      </c>
      <c r="E19" s="3" t="inlineStr">
        <is>
          <t>철회, 안전 수칙으로 대체</t>
        </is>
      </c>
    </row>
    <row r="20">
      <c r="A20" s="3" t="inlineStr">
        <is>
          <t>17</t>
        </is>
      </c>
      <c r="B20" s="3" t="inlineStr">
        <is>
          <t>비교분석</t>
        </is>
      </c>
      <c r="C20" s="3" t="inlineStr">
        <is>
          <t>수식 깨짐(\t·\a 이스케이프: "28.5	ext{mm}", "pprox")</t>
        </is>
      </c>
      <c r="D20" s="3" t="inlineStr">
        <is>
          <t>—</t>
        </is>
      </c>
      <c r="E20" s="3" t="inlineStr">
        <is>
          <t>복구. Δ 28.5 → 29.0mm 재계산</t>
        </is>
      </c>
    </row>
    <row r="21">
      <c r="A21" s="3" t="inlineStr">
        <is>
          <t>18</t>
        </is>
      </c>
      <c r="B21" s="3" t="inlineStr">
        <is>
          <t>전체</t>
        </is>
      </c>
      <c r="C21" s="3" t="inlineStr">
        <is>
          <t>세 보고서 사이 ARI 불일치(92.35 / 95.5·93.0 / 95.9·85.0)</t>
        </is>
      </c>
      <c r="D21" s="3" t="inlineStr">
        <is>
          <t>—</t>
        </is>
      </c>
      <c r="E21" s="3" t="inlineStr">
        <is>
          <t>§10으로 단일화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타깃</t>
        </is>
      </c>
      <c r="B1" s="4" t="inlineStr">
        <is>
          <t>S_orig</t>
        </is>
      </c>
      <c r="C1" s="4" t="inlineStr">
        <is>
          <t>S_clarity</t>
        </is>
      </c>
      <c r="D1" s="4" t="inlineStr">
        <is>
          <t>S_reflex</t>
        </is>
      </c>
      <c r="E1" s="4" t="inlineStr">
        <is>
          <t>S_safety</t>
        </is>
      </c>
      <c r="F1" s="4" t="inlineStr">
        <is>
          <t>ARI(수식)</t>
        </is>
      </c>
    </row>
    <row r="2">
      <c r="A2" t="inlineStr">
        <is>
          <t>cLU3</t>
        </is>
      </c>
      <c r="B2" t="n">
        <v>95</v>
      </c>
      <c r="C2" t="n">
        <v>90</v>
      </c>
      <c r="D2" t="n">
        <v>60</v>
      </c>
      <c r="E2" t="n">
        <v>70</v>
      </c>
      <c r="F2">
        <f>B2*0.35+C2*0.3+D2*0.2+E2*0.15</f>
        <v/>
      </c>
    </row>
    <row r="3">
      <c r="A3" t="inlineStr">
        <is>
          <t>cLU4</t>
        </is>
      </c>
      <c r="B3" t="n">
        <v>92</v>
      </c>
      <c r="C3" t="n">
        <v>88</v>
      </c>
      <c r="D3" t="n">
        <v>60</v>
      </c>
      <c r="E3" t="n">
        <v>70</v>
      </c>
      <c r="F3">
        <f>B3*0.35+C3*0.3+D3*0.2+E3*0.15</f>
        <v/>
      </c>
    </row>
    <row r="4">
      <c r="A4" t="inlineStr">
        <is>
          <t>pLU3</t>
        </is>
      </c>
      <c r="B4" t="n">
        <v>45</v>
      </c>
      <c r="C4" t="n">
        <v>85</v>
      </c>
      <c r="D4" t="n">
        <v>55</v>
      </c>
      <c r="E4" t="n">
        <v>92</v>
      </c>
      <c r="F4">
        <f>B4*0.35+C4*0.3+D4*0.2+E4*0.15</f>
        <v/>
      </c>
    </row>
    <row r="5">
      <c r="A5" t="inlineStr">
        <is>
          <t>pLU4</t>
        </is>
      </c>
      <c r="B5" t="n">
        <v>45</v>
      </c>
      <c r="C5" t="n">
        <v>85</v>
      </c>
      <c r="D5" t="n">
        <v>55</v>
      </c>
      <c r="E5" t="n">
        <v>92</v>
      </c>
      <c r="F5">
        <f>B5*0.35+C5*0.3+D5*0.2+E5*0.15</f>
        <v/>
      </c>
    </row>
    <row r="7">
      <c r="A7" t="inlineStr">
        <is>
          <t>가중치</t>
        </is>
      </c>
      <c r="B7" t="n">
        <v>0.35</v>
      </c>
      <c r="C7" t="n">
        <v>0.3</v>
      </c>
      <c r="D7" t="n">
        <v>0.2</v>
      </c>
      <c r="E7" t="n">
        <v>0.15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쌍</t>
        </is>
      </c>
      <c r="B1" s="4" t="inlineStr">
        <is>
          <t>ΔX(mm)</t>
        </is>
      </c>
      <c r="C1" s="4" t="inlineStr">
        <is>
          <t>ΔZ(mm)</t>
        </is>
      </c>
      <c r="D1" s="4" t="inlineStr">
        <is>
          <t>Δ(mm, 수식)</t>
        </is>
      </c>
      <c r="E1" s="4" t="inlineStr">
        <is>
          <t>판정</t>
        </is>
      </c>
    </row>
    <row r="2">
      <c r="A2" t="inlineStr">
        <is>
          <t>cLU3–pLU3</t>
        </is>
      </c>
      <c r="B2" t="n">
        <v>28.3</v>
      </c>
      <c r="C2" t="n">
        <v>6.2</v>
      </c>
      <c r="D2">
        <f>SQRT(B2^2+C2^2)</f>
        <v/>
      </c>
      <c r="E2">
        <f>IF(D2&gt;15,"이원 분기","단일")</f>
        <v/>
      </c>
    </row>
    <row r="3">
      <c r="A3" t="inlineStr">
        <is>
          <t>cLU4–pLU4</t>
        </is>
      </c>
      <c r="B3" t="n">
        <v>27.7</v>
      </c>
      <c r="C3" t="n">
        <v>6</v>
      </c>
      <c r="D3">
        <f>SQRT(B3^2+C3^2)</f>
        <v/>
      </c>
      <c r="E3">
        <f>IF(D3&gt;15,"이원 분기","단일")</f>
        <v/>
      </c>
    </row>
    <row r="5">
      <c r="A5" s="4" t="inlineStr">
        <is>
          <t>문헌</t>
        </is>
      </c>
      <c r="B5" s="4" t="inlineStr">
        <is>
          <t>천부(푼)</t>
        </is>
      </c>
      <c r="C5" s="4" t="inlineStr">
        <is>
          <t>협백(푼)</t>
        </is>
      </c>
      <c r="D5" s="4" t="inlineStr">
        <is>
          <t>천부 z(mm)</t>
        </is>
      </c>
      <c r="E5" s="4" t="inlineStr">
        <is>
          <t>협백 z(mm)</t>
        </is>
      </c>
    </row>
    <row r="6">
      <c r="A6" t="inlineStr">
        <is>
          <t>황제명당경</t>
        </is>
      </c>
      <c r="B6" t="n">
        <v>4</v>
      </c>
      <c r="C6" t="n">
        <v>4</v>
      </c>
      <c r="D6">
        <f>B6*2.3</f>
        <v/>
      </c>
      <c r="E6">
        <f>C6*2.3</f>
        <v/>
      </c>
    </row>
    <row r="7">
      <c r="A7" t="inlineStr">
        <is>
          <t>침구갑을경</t>
        </is>
      </c>
      <c r="B7" t="n">
        <v>4</v>
      </c>
      <c r="C7" t="n">
        <v>4</v>
      </c>
      <c r="D7">
        <f>B7*2.3</f>
        <v/>
      </c>
      <c r="E7">
        <f>C7*2.3</f>
        <v/>
      </c>
    </row>
    <row r="8">
      <c r="A8" t="inlineStr">
        <is>
          <t>동의보감(인 동인)</t>
        </is>
      </c>
      <c r="B8" t="n">
        <v>3</v>
      </c>
      <c r="C8" t="n">
        <v>3</v>
      </c>
      <c r="D8">
        <f>B8*2.3</f>
        <v/>
      </c>
      <c r="E8">
        <f>C8*2.3</f>
        <v/>
      </c>
    </row>
    <row r="9">
      <c r="A9" t="inlineStr">
        <is>
          <t>공통교재 최소</t>
        </is>
      </c>
      <c r="B9" t="n">
        <v>5</v>
      </c>
      <c r="C9" t="n">
        <v>5</v>
      </c>
      <c r="D9">
        <f>B9*2.3</f>
        <v/>
      </c>
      <c r="E9">
        <f>C9*2.3</f>
        <v/>
      </c>
    </row>
    <row r="10">
      <c r="A10" t="inlineStr">
        <is>
          <t>공통교재 최대</t>
        </is>
      </c>
      <c r="B10" t="n">
        <v>10</v>
      </c>
      <c r="C10" t="n">
        <v>10</v>
      </c>
      <c r="D10">
        <f>B10*2.3</f>
        <v/>
      </c>
      <c r="E10">
        <f>C10*2.3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2026-10-03T10:26:27Z</dcterms:created>
  <dcterms:modified xmlns:dcterms="http://purl.org/dc/terms/" xmlns:xsi="http://www.w3.org/2001/XMLSchema-instance" xsi:type="dcterms:W3CDTF">2026-10-03T10:26:27Z</dcterms:modified>
</cp:coreProperties>
</file>