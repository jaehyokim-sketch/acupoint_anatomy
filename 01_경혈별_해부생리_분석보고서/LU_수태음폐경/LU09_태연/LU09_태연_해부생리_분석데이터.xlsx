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구판_1.문헌스크리닝_원천분리" sheetId="1" state="visible" r:id="rId1"/>
    <sheet xmlns:r="http://schemas.openxmlformats.org/officeDocument/2006/relationships" name="구판_2.2대교재_해부구조_대조" sheetId="2" state="visible" r:id="rId2"/>
    <sheet xmlns:r="http://schemas.openxmlformats.org/officeDocument/2006/relationships" name="구판_3.3D좌표_Layer1~5_심도" sheetId="3" state="visible" r:id="rId3"/>
    <sheet xmlns:r="http://schemas.openxmlformats.org/officeDocument/2006/relationships" name="구판_4.생의학반사_BCheck_논문" sheetId="4" state="visible" r:id="rId4"/>
    <sheet xmlns:r="http://schemas.openxmlformats.org/officeDocument/2006/relationships" name="구판_5.ARI_v3.0_평가표" sheetId="5" state="visible" r:id="rId5"/>
    <sheet xmlns:r="http://schemas.openxmlformats.org/officeDocument/2006/relationships" name="문헌스크리닝_4대원전_경락통감" sheetId="6" state="visible" r:id="rId6"/>
    <sheet xmlns:r="http://schemas.openxmlformats.org/officeDocument/2006/relationships" name="분기추론_TriTarget" sheetId="7" state="visible" r:id="rId7"/>
    <sheet xmlns:r="http://schemas.openxmlformats.org/officeDocument/2006/relationships" name="ARI_v3.0_이중채점" sheetId="8" state="visible" r:id="rId8"/>
    <sheet xmlns:r="http://schemas.openxmlformats.org/officeDocument/2006/relationships" name="B-Check_이중채점" sheetId="9" state="visible" r:id="rId9"/>
    <sheet xmlns:r="http://schemas.openxmlformats.org/officeDocument/2006/relationships" name="자침깊이_계산" sheetId="10" state="visible" r:id="rId10"/>
    <sheet xmlns:r="http://schemas.openxmlformats.org/officeDocument/2006/relationships" name="LayerA_LU9확인" sheetId="11" state="visible" r:id="rId11"/>
    <sheet xmlns:r="http://schemas.openxmlformats.org/officeDocument/2006/relationships" name="외부검색로그" sheetId="12" state="visible" r:id="rId12"/>
    <sheet xmlns:r="http://schemas.openxmlformats.org/officeDocument/2006/relationships" name="FMA_해부실체" sheetId="13" state="visible" r:id="rId13"/>
    <sheet xmlns:r="http://schemas.openxmlformats.org/officeDocument/2006/relationships" name="개정이력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FFFFFF"/>
      <sz val="10"/>
    </font>
    <font>
      <name val="Noto Sans KR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경혈코드</t>
        </is>
      </c>
      <c r="B1" s="1" t="inlineStr">
        <is>
          <t>경혈명(한글)</t>
        </is>
      </c>
      <c r="C1" s="1" t="inlineStr">
        <is>
          <t>경혈명(한자/간체)</t>
        </is>
      </c>
      <c r="D1" s="1" t="inlineStr">
        <is>
          <t>소속경락</t>
        </is>
      </c>
      <c r="E1" s="1" t="inlineStr">
        <is>
          <t>검증이명(KJH)</t>
        </is>
      </c>
      <c r="F1" s="1" t="inlineStr">
        <is>
          <t>원천정위기록(혈위통감)</t>
        </is>
      </c>
      <c r="G1" s="1" t="inlineStr">
        <is>
          <t>증치처방기록(증치통감)</t>
        </is>
      </c>
      <c r="H1" s="1" t="inlineStr">
        <is>
          <t>비판교감(수혈통고)</t>
        </is>
      </c>
    </row>
    <row r="2">
      <c r="A2" s="2" t="inlineStr">
        <is>
          <t>LU09</t>
        </is>
      </c>
      <c r="B2" s="2" t="inlineStr">
        <is>
          <t>태연</t>
        </is>
      </c>
      <c r="C2" s="2" t="inlineStr">
        <is>
          <t>太淵 (간체: 太渊)</t>
        </is>
      </c>
      <c r="D2" s="2" t="inlineStr">
        <is>
          <t>수태음폐경</t>
        </is>
      </c>
      <c r="E2" s="2" t="inlineStr">
        <is>
          <t>太泉</t>
        </is>
      </c>
      <c r="F2" s="2" t="inlineStr">
        <is>
          <t>[中国针灸穴位通鉴_08_手太阴肺经(2).md]
## 太渊[1] Tàiyuān LU 9
##### 一. 出处
“五脏有疾，当取之十二原。……阳中之少阴肺也，其原出于太渊。”（《灵枢经·九针十二原》1：7）
##### 二. 别名
1.“一名太泉。”（《针灸大全》89、《针灸集书》、《针灸聚英》、《古今医统大全》、《针灸大成》、《针方六集》、《循经考穴编》、《学古诊则》、《针灸指南》、《古法新解会元针灸学》）
2.“一名太泉、鬼心[2]。”（《中国针灸学》：60）
##### 三. 穴名释义
1.“水之流趋于下为注，十二经脉流鱼际已，注于此处，故为注也。少商初出为井，可为小泉，鱼际停澹，此中涌注，故曰大泉之也。”（《黄帝内经明堂》：6）
2.“渊，深也；太，大也，脉气所大会，故谓之太渊。”（《医经理解》）
3.“太渊者，脉之大会，阳阴之系统，渊源之出入，始于内而标于外，切其脉而知其形色，故名太渊也。”（《古法新解会元针灸学》：3）
4.“太，指大、甚的意思；渊，指深博。穴当寸口，为肺经的原穴，又是肺气的大会所。所谓‘肺朝百脉’、‘脉会大渊’，因名太渊。”（《</t>
        </is>
      </c>
      <c r="G2" s="2" t="inlineStr">
        <is>
          <t>[中国针灸证治通鉴_04_第壹编_第七篇_手太阴肺经_手阳明大肠经_足阳明胃经.md]
）太渊
**1. 针灸腧穴书主治症**
**《明堂经》**
主病温身热，五日以上汗不出，刺太渊，留
&lt;!-- PAGE_END: 48 --&gt;
&lt;!-- PAGE_START: 49 --&gt;
针一时取之，未满五日禁不可刺。痎疟。臂厥，肩膺胸痛，目中白眼青，转筋，掌中热，乍寒乍热，缺盆中相引痛，数欠，喘不得息，臂内廉痛，上鬲，饮已烦满。痹逆气，寒厥急热烦心，善唾，哕噫，胸满嗷呼，胃气上逆，心痛。咳逆，烦闷不得卧，胸中满，喘不得息，背痛。唾血，振寒，嗌干。口僻，刺太渊、引而下之。狂言。妬乳。
**2. 其他书针灸方腧穴主治症**
**《灵枢》**
主肺心痛。热病。
**《千金要方》**
肺病。
**《千金翼方》**
肺胀气抢胁下热痛。肺热咳嗽。
##### 三）云门
**1. 针灸腧穴书主治症**
**《明堂经》**
主暴心腹痛，疝积时发，上冲心。咳逆，喘不得息，坐不得卧，呼吸气索咽不得，胸中热。喉痹，胸中暴逆，先取冲脉，后取三里，云门皆写之。肩痛不可举，引缺盆。脉代不至寸</t>
        </is>
      </c>
      <c r="H2" s="2" t="inlineStr">
        <is>
          <t>[针灸腧穴通考_03_上_手太阴肺经穴.md]
）太渊 Tàiyuān LU9 出《灵枢》 &lt;a id="taiyuanlu9"&gt;&lt;/a&gt;
问题1：太渊穴与太渊脉关系如何？
问题2：“太渊”为何又作“太泉”或“太渕”？
问题3：为什么本穴定位，宋以前文献皆未提及“动脉”，金元以下直至现代针灸学教材却均将动脉搏动作为定位的标志，而最新的国标又删除“动脉”字样？
#### 【提要索隐】 &lt;a id="_114"&gt;&lt;/a&gt;
经渠与太渊二穴同出于手太阴脉口，本是一穴，古穴名曰“手太阴”，其主治病症是手太阴脉的“是动”病。在《黄帝内经》中“手太阴”已演化为“经渠”、“太渊”二穴，至《黄帝明堂经》，此二穴主治病症已略有侧重。
**穴名**：又写作“大渕”。唐代避李渊名讳改作“大泉”、“太泉”，后人有不识或误作“天泉”者。
**部位**：在腕前区，桡骨茎突与舟状骨之间，拇长展肌腱尺侧凹陷中。
**国标修订**：1990年版国标：在腕掌侧横纹桡侧，桡动脉搏动处。2006年修订版：在腕前区，桡骨茎突与舟状骨之间，拇长展肌腱尺侧凹陷中。
**按**：人体测量学研究结果表明：桡动脉在桡骨茎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구분</t>
        </is>
      </c>
      <c r="B1" s="1" t="inlineStr">
        <is>
          <t>경혈학 공통교재 표준</t>
        </is>
      </c>
      <c r="C1" s="1" t="inlineStr">
        <is>
          <t>김재효 교수 경혈해부 데이터셋</t>
        </is>
      </c>
      <c r="D1" s="1" t="inlineStr">
        <is>
          <t>해부생리학적 평가 및 층차 일치도</t>
        </is>
      </c>
    </row>
    <row r="2">
      <c r="A2" s="2" t="inlineStr">
        <is>
          <t>표재신경</t>
        </is>
      </c>
      <c r="B2" s="2" t="inlineStr">
        <is>
          <t>피신경 주행 분지</t>
        </is>
      </c>
      <c r="C2" s="2" t="inlineStr">
        <is>
          <t>외측/내측 피신경 분절 C/L/S 지배</t>
        </is>
      </c>
      <c r="D2" s="2" t="inlineStr">
        <is>
          <t>Layer 1~2 체표 감각 수용기 흥분</t>
        </is>
      </c>
    </row>
    <row r="3">
      <c r="A3" s="2" t="inlineStr">
        <is>
          <t>심층근육</t>
        </is>
      </c>
      <c r="B3" s="2" t="inlineStr">
        <is>
          <t>표준 근육 부착부 및 건</t>
        </is>
      </c>
      <c r="C3" s="2" t="inlineStr">
        <is>
          <t>정밀 주행 근육 근복 및 MTrP 호발부위</t>
        </is>
      </c>
      <c r="D3" s="2" t="inlineStr">
        <is>
          <t>Layer 3 체성-운동신경 조절</t>
        </is>
      </c>
    </row>
    <row r="4">
      <c r="A4" s="2" t="inlineStr">
        <is>
          <t>신경혈관속</t>
        </is>
      </c>
      <c r="B4" s="2" t="inlineStr">
        <is>
          <t>주요 신경간 및 동맥</t>
        </is>
      </c>
      <c r="C4" s="2" t="inlineStr">
        <is>
          <t>혈관외막 자율신경총 및 반사 회로</t>
        </is>
      </c>
      <c r="D4" s="2" t="inlineStr">
        <is>
          <t>Layer 4 체성-내장 반사 구동층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해부층차</t>
        </is>
      </c>
      <c r="B1" s="1" t="inlineStr">
        <is>
          <t>깊이범위(mm)</t>
        </is>
      </c>
      <c r="C1" s="1" t="inlineStr">
        <is>
          <t>대표 구조물(Substrates)</t>
        </is>
      </c>
      <c r="D1" s="1" t="inlineStr">
        <is>
          <t>신경/혈관망</t>
        </is>
      </c>
      <c r="E1" s="1" t="inlineStr">
        <is>
          <t>생의학적 반사 기전</t>
        </is>
      </c>
      <c r="F1" s="1" t="inlineStr">
        <is>
          <t>안전도/위험평가</t>
        </is>
      </c>
    </row>
    <row r="2">
      <c r="A2" s="2" t="inlineStr">
        <is>
          <t>Layer 1 (피부·피하)</t>
        </is>
      </c>
      <c r="B2" s="2" t="inlineStr">
        <is>
          <t>0 ~ 2.5mm</t>
        </is>
      </c>
      <c r="C2" s="2" t="inlineStr">
        <is>
          <t>피부 및 피하 결합조직</t>
        </is>
      </c>
      <c r="D2" s="2" t="inlineStr">
        <is>
          <t>표재 피신경, 피정맥</t>
        </is>
      </c>
      <c r="E2" s="2" t="inlineStr">
        <is>
          <t>체표 감각 수용기 흥분</t>
        </is>
      </c>
      <c r="F2" s="2" t="inlineStr">
        <is>
          <t>안전 (Safe)</t>
        </is>
      </c>
    </row>
    <row r="3">
      <c r="A3" s="2" t="inlineStr">
        <is>
          <t>Layer 2 (표층근막)</t>
        </is>
      </c>
      <c r="B3" s="2" t="inlineStr">
        <is>
          <t>2.5 ~ 6.5mm</t>
        </is>
      </c>
      <c r="C3" s="2" t="inlineStr">
        <is>
          <t>표층 근막, 천층 건막</t>
        </is>
      </c>
      <c r="D3" s="2" t="inlineStr">
        <is>
          <t>근막 간 신경종말, 모세혈관망</t>
        </is>
      </c>
      <c r="E3" s="2" t="inlineStr">
        <is>
          <t>근막 통증유발점(MTrP) 해소</t>
        </is>
      </c>
      <c r="F3" s="2" t="inlineStr">
        <is>
          <t>안전 (Safe)</t>
        </is>
      </c>
    </row>
    <row r="4">
      <c r="A4" s="2" t="inlineStr">
        <is>
          <t>Layer 3 (심층근육)</t>
        </is>
      </c>
      <c r="B4" s="2" t="inlineStr">
        <is>
          <t>6.5 ~ 16.5mm</t>
        </is>
      </c>
      <c r="C4" s="2" t="inlineStr">
        <is>
          <t>심층 근육 근복, 건막 간극</t>
        </is>
      </c>
      <c r="D4" s="2" t="inlineStr">
        <is>
          <t>운동신경 분지, 근방추</t>
        </is>
      </c>
      <c r="E4" s="2" t="inlineStr">
        <is>
          <t>체성-운동신경 조절, 분절 반사</t>
        </is>
      </c>
      <c r="F4" s="2" t="inlineStr">
        <is>
          <t>주의 (Moderate)</t>
        </is>
      </c>
    </row>
    <row r="5">
      <c r="A5" s="2" t="inlineStr">
        <is>
          <t>Layer 4 (신경혈관속)</t>
        </is>
      </c>
      <c r="B5" s="2" t="inlineStr">
        <is>
          <t>16.5 ~ 22.0mm</t>
        </is>
      </c>
      <c r="C5" s="2" t="inlineStr">
        <is>
          <t>주요 신경간, 동맥 박동부</t>
        </is>
      </c>
      <c r="D5" s="2" t="inlineStr">
        <is>
          <t>혈관외막 주위 자율신경총</t>
        </is>
      </c>
      <c r="E5" s="2" t="inlineStr">
        <is>
          <t>체성-내장/자율신경 반사 구동</t>
        </is>
      </c>
      <c r="F5" s="2" t="inlineStr">
        <is>
          <t>고도주의 (Cautious)</t>
        </is>
      </c>
    </row>
    <row r="6">
      <c r="A6" s="2" t="inlineStr">
        <is>
          <t>Layer 5 (골막·심부바닥)</t>
        </is>
      </c>
      <c r="B6" s="2" t="inlineStr">
        <is>
          <t>22.0mm 이상</t>
        </is>
      </c>
      <c r="C6" s="2" t="inlineStr">
        <is>
          <t>골막, 관절낭, 심부 기저면</t>
        </is>
      </c>
      <c r="D6" s="2" t="inlineStr">
        <is>
          <t>골막 감각신경, 심부 수용기</t>
        </is>
      </c>
      <c r="E6" s="2" t="inlineStr">
        <is>
          <t>골막 자극 진통 반사</t>
        </is>
      </c>
      <c r="F6" s="2" t="inlineStr">
        <is>
          <t>저항감 형성 안전한계선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항목번호</t>
        </is>
      </c>
      <c r="B1" s="1" t="inlineStr">
        <is>
          <t>B-Check 검증 항목 (만점 12점)</t>
        </is>
      </c>
      <c r="C1" s="1" t="inlineStr">
        <is>
          <t>부여 점수 (0/1/2)</t>
        </is>
      </c>
      <c r="D1" s="1" t="inlineStr">
        <is>
          <t>Layer B 참조 문헌 ID</t>
        </is>
      </c>
      <c r="E1" s="1" t="inlineStr">
        <is>
          <t>Layer A 실측 논문 (papers.id / PMID)</t>
        </is>
      </c>
    </row>
    <row r="2">
      <c r="A2" s="2" t="inlineStr">
        <is>
          <t>1</t>
        </is>
      </c>
      <c r="B2" s="2" t="inlineStr">
        <is>
          <t>자침 심도의 말초신경·혈관 실체</t>
        </is>
      </c>
      <c r="C2" s="2" t="n">
        <v>2</v>
      </c>
      <c r="D2" s="2" t="inlineStr">
        <is>
          <t>B1-01 (Gray's), B2-01 (Heine)</t>
        </is>
      </c>
      <c r="E2" s="2" t="inlineStr">
        <is>
          <t>papers.id #1 / PMID 확인</t>
        </is>
      </c>
    </row>
    <row r="3">
      <c r="A3" s="2" t="inlineStr">
        <is>
          <t>2</t>
        </is>
      </c>
      <c r="B3" s="2" t="inlineStr">
        <is>
          <t>척수 분절 정합 (피절·근절 ↔ 내장절)</t>
        </is>
      </c>
      <c r="C3" s="2" t="n">
        <v>2</v>
      </c>
      <c r="D3" s="2" t="inlineStr">
        <is>
          <t>B1-02 (Snell), B3-01 (Head)</t>
        </is>
      </c>
      <c r="E3" s="2" t="inlineStr">
        <is>
          <t>신경해부학 분절 일치</t>
        </is>
      </c>
    </row>
    <row r="4">
      <c r="A4" s="2" t="inlineStr">
        <is>
          <t>3</t>
        </is>
      </c>
      <c r="B4" s="2" t="inlineStr">
        <is>
          <t>구심 섬유형 및 수용체 (Aβ/Aδ/C, PROKR2)</t>
        </is>
      </c>
      <c r="C4" s="2" t="n">
        <v>1</v>
      </c>
      <c r="D4" s="2" t="inlineStr">
        <is>
          <t>B3-04 (Sato), B3-17 (Liu)</t>
        </is>
      </c>
      <c r="E4" s="2" t="inlineStr">
        <is>
          <t>동물 생리실험 부합</t>
        </is>
      </c>
    </row>
    <row r="5">
      <c r="A5" s="2" t="inlineStr">
        <is>
          <t>4</t>
        </is>
      </c>
      <c r="B5" s="2" t="inlineStr">
        <is>
          <t>중추 중계 및 경로 (후각수렴, NTS, rVLM)</t>
        </is>
      </c>
      <c r="C5" s="2" t="n">
        <v>1</v>
      </c>
      <c r="D5" s="2" t="inlineStr">
        <is>
          <t>B3-11 (Longhurst)</t>
        </is>
      </c>
      <c r="E5" s="2" t="inlineStr">
        <is>
          <t>신경영상 및 뇌간 반사</t>
        </is>
      </c>
    </row>
    <row r="6">
      <c r="A6" s="2" t="inlineStr">
        <is>
          <t>5</t>
        </is>
      </c>
      <c r="B6" s="2" t="inlineStr">
        <is>
          <t>원심 경로 및 표적 장기 효과 일치</t>
        </is>
      </c>
      <c r="C6" s="2" t="n">
        <v>2</v>
      </c>
      <c r="D6" s="2" t="inlineStr">
        <is>
          <t>B3-05 (Sato), B3-16 (Torres-Rosas)</t>
        </is>
      </c>
      <c r="E6" s="2" t="inlineStr">
        <is>
          <t>고전 주치(P_single) 방향 일치</t>
        </is>
      </c>
    </row>
    <row r="7">
      <c r="A7" s="2" t="inlineStr">
        <is>
          <t>6</t>
        </is>
      </c>
      <c r="B7" s="2" t="inlineStr">
        <is>
          <t>인체 전환 근거 (fMRI, RCT, 메타분석)</t>
        </is>
      </c>
      <c r="C7" s="2" t="n">
        <v>1</v>
      </c>
      <c r="D7" s="2" t="inlineStr">
        <is>
          <t>B4-03 (Chae), B4-04 (Vickers)</t>
        </is>
      </c>
      <c r="E7" s="2" t="inlineStr">
        <is>
          <t>인체 침 치료 임상 실증</t>
        </is>
      </c>
    </row>
    <row r="8">
      <c r="A8" s="2" t="inlineStr">
        <is>
          <t>합계</t>
        </is>
      </c>
      <c r="B8" s="2" t="inlineStr">
        <is>
          <t>B-Check 총점 (≥ 8/12 = 67% 부합 시 확정)</t>
        </is>
      </c>
      <c r="C8" s="2" t="inlineStr">
        <is>
          <t>9 / 12 (부합 확정)</t>
        </is>
      </c>
      <c r="D8" s="2" t="inlineStr">
        <is>
          <t>Layer B 4계층 참조</t>
        </is>
      </c>
      <c r="E8" s="2" t="inlineStr">
        <is>
          <t>Tier 3 모노그래프 요건 충족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구분</t>
        </is>
      </c>
      <c r="B1" s="1" t="inlineStr">
        <is>
          <t>지표명</t>
        </is>
      </c>
      <c r="C1" s="1" t="inlineStr">
        <is>
          <t>가중치</t>
        </is>
      </c>
      <c r="D1" s="1" t="inlineStr">
        <is>
          <t>원점수 (0~100)</t>
        </is>
      </c>
      <c r="E1" s="1" t="inlineStr">
        <is>
          <t>가중점수</t>
        </is>
      </c>
      <c r="F1" s="1" t="inlineStr">
        <is>
          <t>루브릭 단계 및 판정 근거</t>
        </is>
      </c>
    </row>
    <row r="2">
      <c r="A2" s="2" t="inlineStr">
        <is>
          <t>ARI-Core</t>
        </is>
      </c>
      <c r="B2" s="2" t="inlineStr">
        <is>
          <t>S_orig (원전문헌 정합성)</t>
        </is>
      </c>
      <c r="C2" s="2" t="n">
        <v>0.4</v>
      </c>
      <c r="D2" s="2" t="n">
        <v>85</v>
      </c>
      <c r="E2" s="2" t="n">
        <v>34</v>
      </c>
      <c r="F2" s="2" t="inlineStr">
        <is>
          <t>선진·한대 원천정위 및 3대 원전 편년체 전수 대조</t>
        </is>
      </c>
    </row>
    <row r="3">
      <c r="A3" s="2" t="inlineStr">
        <is>
          <t>ARI-Core</t>
        </is>
      </c>
      <c r="B3" s="2" t="inlineStr">
        <is>
          <t>S_clarity (해부 실체 명확성)</t>
        </is>
      </c>
      <c r="C3" s="2" t="n">
        <v>0.35</v>
      </c>
      <c r="D3" s="2" t="n">
        <v>75</v>
      </c>
      <c r="E3" s="2" t="n">
        <v>26.25</v>
      </c>
      <c r="F3" s="2" t="inlineStr">
        <is>
          <t>공통교재 vs 김재효 교재 정밀 비교 및 3D 층차 실체화</t>
        </is>
      </c>
    </row>
    <row r="4">
      <c r="A4" s="2" t="inlineStr">
        <is>
          <t>ARI-Core</t>
        </is>
      </c>
      <c r="B4" s="2" t="inlineStr">
        <is>
          <t>S_reflex (신경반사 실증성)</t>
        </is>
      </c>
      <c r="C4" s="2" t="n">
        <v>0.25</v>
      </c>
      <c r="D4" s="2" t="n">
        <v>75</v>
      </c>
      <c r="E4" s="2" t="n">
        <v>18.75</v>
      </c>
      <c r="F4" s="2" t="inlineStr">
        <is>
          <t>통합 DB 실측 논문 9편 + B-Check 부합</t>
        </is>
      </c>
    </row>
    <row r="5">
      <c r="A5" s="2" t="inlineStr">
        <is>
          <t>ARI-Core 총합</t>
        </is>
      </c>
      <c r="B5" s="2" t="inlineStr">
        <is>
          <t>실체 판명 신뢰도</t>
        </is>
      </c>
      <c r="C5" s="2" t="n">
        <v>1</v>
      </c>
      <c r="D5" s="2" t="inlineStr">
        <is>
          <t>-</t>
        </is>
      </c>
      <c r="E5" s="2" t="n">
        <v>79</v>
      </c>
      <c r="F5" s="2" t="inlineStr">
        <is>
          <t>최종 등급: B (개연 (Probable))</t>
        </is>
      </c>
    </row>
    <row r="6">
      <c r="A6" s="2" t="inlineStr">
        <is>
          <t>SI (안전지수)</t>
        </is>
      </c>
      <c r="B6" s="2" t="inlineStr">
        <is>
          <t>S_safety (자침 심도 안전성)</t>
        </is>
      </c>
      <c r="C6" s="2" t="inlineStr">
        <is>
          <t>별도</t>
        </is>
      </c>
      <c r="D6" s="2" t="n">
        <v>75</v>
      </c>
      <c r="E6" s="2" t="n">
        <v>75</v>
      </c>
      <c r="F6" s="2" t="inlineStr">
        <is>
          <t>한대 1푼=2.3mm 환산 및 Layer 4~5 안전 여유 거리</t>
        </is>
      </c>
    </row>
    <row r="7">
      <c r="A7" s="2" t="inlineStr">
        <is>
          <t>민감도 분석</t>
        </is>
      </c>
      <c r="B7" s="2" t="inlineStr">
        <is>
          <t>등가중치(1/3씩) ARI-Core</t>
        </is>
      </c>
      <c r="C7" s="2" t="inlineStr">
        <is>
          <t>-</t>
        </is>
      </c>
      <c r="D7" s="2" t="inlineStr">
        <is>
          <t>-</t>
        </is>
      </c>
      <c r="E7" s="2" t="n">
        <v>78.33</v>
      </c>
      <c r="F7" s="2" t="inlineStr">
        <is>
          <t>민감도 판정: B (등급 불변)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  <col width="40" customWidth="1" min="3" max="3"/>
    <col width="22" customWidth="1" min="4" max="4"/>
    <col width="70" customWidth="1" min="5" max="5"/>
  </cols>
  <sheetData>
    <row r="1">
      <c r="A1" s="3" t="inlineStr">
        <is>
          <t>원전</t>
        </is>
      </c>
      <c r="B1" s="3" t="inlineStr">
        <is>
          <t>원문 발췌</t>
        </is>
      </c>
      <c r="C1" s="3" t="inlineStr">
        <is>
          <t>한국어 요지</t>
        </is>
      </c>
      <c r="D1" s="3" t="inlineStr">
        <is>
          <t>판정 용도</t>
        </is>
      </c>
      <c r="E1" s="3" t="inlineStr">
        <is>
          <t>내부 포인터(파일·행)</t>
        </is>
      </c>
    </row>
    <row r="2">
      <c r="A2" s="4" t="inlineStr">
        <is>
          <t>《中国针灸经络通鉴》</t>
        </is>
      </c>
      <c r="B2" s="4" t="inlineStr">
        <is>
          <t>《灵枢·本输》 "注于太渊，太渊鱼后一寸陷者中也，为输；行于经渠，经渠寸口中也"</t>
        </is>
      </c>
      <c r="C2" s="4" t="inlineStr">
        <is>
          <t>本输 자구 동일(이문 없음)</t>
        </is>
      </c>
      <c r="D2" s="4" t="inlineStr">
        <is>
          <t>Target 1 근거</t>
        </is>
      </c>
      <c r="E2" s="4" t="inlineStr">
        <is>
          <t>中国针灸经络通鉴_11_第贰编_第三篇_脉度、骨度与要穴.md L423</t>
        </is>
      </c>
    </row>
    <row r="3">
      <c r="A3" s="4" t="inlineStr">
        <is>
          <t>《中国针灸经络通鉴》</t>
        </is>
      </c>
      <c r="B3" s="4" t="inlineStr">
        <is>
          <t>"'手太阴'实际上相当于太渊、经渠（还包括早期鱼际）穴之间的整个手太阴脉动处（脉口）" / 《脉经》 "手太阴：在鱼际间(即太渊穴也)"</t>
        </is>
      </c>
      <c r="C3" s="4" t="inlineStr">
        <is>
          <t>초기 手太阴 경맥혈 = 태연~경거 맥구 전체</t>
        </is>
      </c>
      <c r="D3" s="4" t="inlineStr">
        <is>
          <t>Rank 4 맥/혈 감별, 7절 참고 변이</t>
        </is>
      </c>
      <c r="E3" s="4" t="inlineStr">
        <is>
          <t>中国针灸经络通鉴_01_第壹编_第一篇_“经脉”概念的形成与经络学说的建立.md L711·L733</t>
        </is>
      </c>
    </row>
    <row r="4">
      <c r="A4" s="4" t="inlineStr">
        <is>
          <t>《中国针灸经络通鉴》</t>
        </is>
      </c>
      <c r="B4" s="4" t="inlineStr">
        <is>
          <t>"《素问·刺禁论》所言'臂太阴脉'即指手太阴脉口，相当于'经渠'、'太渊'穴处"</t>
        </is>
      </c>
      <c r="C4" s="4" t="inlineStr">
        <is>
          <t>刺禁 출혈 경고 = 태연·경거 맥구</t>
        </is>
      </c>
      <c r="D4" s="4" t="inlineStr">
        <is>
          <t>SI·금기 판단 지지</t>
        </is>
      </c>
      <c r="E4" s="4" t="inlineStr">
        <is>
          <t>中国针灸经络通鉴_02_第壹编_第二篇_经络学说的演变(一~七).md L653</t>
        </is>
      </c>
    </row>
    <row r="5">
      <c r="A5" s="4" t="inlineStr">
        <is>
          <t>《中国针灸经络通鉴》</t>
        </is>
      </c>
      <c r="B5" s="4" t="inlineStr">
        <is>
          <t>"出于手太阴脉口'寸口'脉" / "《明堂经》载手太阴脉口处穴太渊穴主治：'臂厥，缺盆中引痛，心痛'"</t>
        </is>
      </c>
      <c r="C5" s="4" t="inlineStr">
        <is>
          <t>心痛 주치 = 臂巨阴脉 是动病 보존</t>
        </is>
      </c>
      <c r="D5" s="4" t="inlineStr">
        <is>
          <t>Rank 4 경락론적 확장, 9절</t>
        </is>
      </c>
      <c r="E5" s="4" t="inlineStr">
        <is>
          <t>中国针灸经络通鉴_05_第壹编_第三篇_经络专篇研究.md L1138·L1144</t>
        </is>
      </c>
    </row>
    <row r="6">
      <c r="A6" s="4" t="inlineStr">
        <is>
          <t>《中国针灸经络通鉴》</t>
        </is>
      </c>
      <c r="B6" s="4" t="inlineStr">
        <is>
          <t>《医学纲目》 "掌后陷中动脉，太渊穴也。寸口中动脉，经渠穴也"</t>
        </is>
      </c>
      <c r="C6" s="4" t="inlineStr">
        <is>
          <t>명대 陷中+动脉 결합</t>
        </is>
      </c>
      <c r="D6" s="4" t="inlineStr">
        <is>
          <t>2절</t>
        </is>
      </c>
      <c r="E6" s="4" t="inlineStr">
        <is>
          <t>中国针灸经络通鉴_17_第叁编_第一篇_手太阴经脉、经别、络脉和经筋.md L241</t>
        </is>
      </c>
    </row>
    <row r="7">
      <c r="A7" s="4" t="inlineStr">
        <is>
          <t>《中国针灸经络通鉴》</t>
        </is>
      </c>
      <c r="B7" s="4" t="inlineStr">
        <is>
          <t>《千金要方》 卷二十九 "注于大泉为输" / 《太素》 杨注 "太泉穴"</t>
        </is>
      </c>
      <c r="C7" s="4" t="inlineStr">
        <is>
          <t>大泉·太泉 피휘 표기</t>
        </is>
      </c>
      <c r="D7" s="4" t="inlineStr">
        <is>
          <t>3절</t>
        </is>
      </c>
      <c r="E7" s="4" t="inlineStr">
        <is>
          <t>中国针灸经络通鉴_17_第叁编_第一篇_手太阴经脉、经别、络脉和经筋.md L365·L310</t>
        </is>
      </c>
    </row>
    <row r="8">
      <c r="A8" s="4" t="inlineStr">
        <is>
          <t>《中国针灸经络通鉴》</t>
        </is>
      </c>
      <c r="B8" s="4" t="inlineStr">
        <is>
          <t>맥명 색인 "太渊脉" / 《气交变大论》 "太渊脉——肺"</t>
        </is>
      </c>
      <c r="C8" s="4" t="inlineStr">
        <is>
          <t>太渊 = 맥진 부위명</t>
        </is>
      </c>
      <c r="D8" s="4" t="inlineStr">
        <is>
          <t>3절</t>
        </is>
      </c>
      <c r="E8" s="4" t="inlineStr">
        <is>
          <t>中国针灸经络通鉴_37_第伍编_附篇一_脉名索引.md L385; 中国针灸经络通鉴_07_第壹编_第五篇_不同来源的经络学说.md L102</t>
        </is>
      </c>
    </row>
    <row r="9">
      <c r="A9" s="4" t="inlineStr">
        <is>
          <t>《中国针灸经络通鉴》</t>
        </is>
      </c>
      <c r="B9" s="4" t="inlineStr">
        <is>
          <t>(치통·龙渊 혼입, 국표 동맥 표지 논쟁)</t>
        </is>
      </c>
      <c r="C9" s="4" t="inlineStr">
        <is>
          <t>해당 쟁점 직접 언급 없음</t>
        </is>
      </c>
      <c r="D9" s="4" t="inlineStr">
        <is>
          <t>④ 불변 근거</t>
        </is>
      </c>
      <c r="E9" s="4" t="inlineStr">
        <is>
          <t>전 39편 grep: 太渊·太淵·大泉·太泉·鬼心·大渊 — 위 행 외 관련 기술 없음</t>
        </is>
      </c>
    </row>
    <row r="10">
      <c r="A10" s="4" t="inlineStr">
        <is>
          <t>《中国针灸证治通鉴》</t>
        </is>
      </c>
      <c r="B10" s="4" t="inlineStr">
        <is>
          <t>《明堂经》 "主病温身热，五日以上汗不出，刺太渊……口僻，刺太渊、引而下之。狂言。妬乳。"</t>
        </is>
      </c>
      <c r="C10" s="4" t="inlineStr">
        <is>
          <t>(번역본) 온병 신열·5일 이상 무한…구벽에는 태연을 찌르고 끌어내린다</t>
        </is>
      </c>
      <c r="D10" s="4" t="inlineStr">
        <is>
          <t>P_single</t>
        </is>
      </c>
      <c r="E10" s="4" t="inlineStr">
        <is>
          <t>中国针灸证治通鉴_04_第壹编_第七篇_手太阴肺经_手阳明大肠经_足阳明胃经.md L50~54; 中国针灸证治通鉴_04_第壹编_第七篇_手太阴肺经_手阳明大肠经_足阳明胃经_한글번역.md L61·L63</t>
        </is>
      </c>
    </row>
    <row r="11">
      <c r="A11" s="4" t="inlineStr">
        <is>
          <t>《中国针灸证治通鉴》</t>
        </is>
      </c>
      <c r="B11" s="4" t="inlineStr">
        <is>
          <t>《灵枢》 "主肺心痛。热病。" / 《千金翼方》 "肺胀气抢胁下热痛。肺热咳嗽。"</t>
        </is>
      </c>
      <c r="C11" s="4" t="inlineStr">
        <is>
          <t>(번역본) 폐심통·열병 / 폐창·폐열 해수</t>
        </is>
      </c>
      <c r="D11" s="4" t="inlineStr">
        <is>
          <t>P_comb</t>
        </is>
      </c>
      <c r="E11" s="4" t="inlineStr">
        <is>
          <t>中国针灸证治通鉴_04_第壹编_第七篇_手太阴肺经_手阳明大肠经_足阳明胃经.md L60~68; 中国针灸证治通鉴_04_第壹编_第七篇_手太阴肺经_手阳明大肠经_足阳明胃经_한글번역.md L71~85</t>
        </is>
      </c>
    </row>
    <row r="12">
      <c r="A12" s="4" t="inlineStr">
        <is>
          <t>《中国针灸证治通鉴》</t>
        </is>
      </c>
      <c r="B12" s="4" t="inlineStr">
        <is>
          <t>伤寒咳嗽 风门、肺俞、列缺、太渊 / 哮喘 … 太渊、足三里 / 肺痈 肾俞、合谷、太渊</t>
        </is>
      </c>
      <c r="C12" s="4" t="inlineStr">
        <is>
          <t>(번역본) 상한 기침 / 효천 / 폐옹 토농</t>
        </is>
      </c>
      <c r="D12" s="4" t="inlineStr">
        <is>
          <t>P_comb</t>
        </is>
      </c>
      <c r="E12" s="4" t="inlineStr">
        <is>
          <t>中国针灸证治通鉴_17_第叁编_内科病症_二十二脏腑病证至二十四胸胁满痛.md L1063·L1181·L204; 中国针灸证治通鉴_17_第叁编_内科病症_二十二脏腑病证至二十四胸胁满痛_한글번역.md L1736·L1948·L329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46" customWidth="1" min="3" max="3"/>
    <col width="40" customWidth="1" min="4" max="4"/>
    <col width="40" customWidth="1" min="5" max="5"/>
  </cols>
  <sheetData>
    <row r="1">
      <c r="A1" s="3" t="inlineStr">
        <is>
          <t>구분</t>
        </is>
      </c>
      <c r="B1" s="3" t="inlineStr">
        <is>
          <t>Target 1 (고전 문헌 위치)</t>
        </is>
      </c>
      <c r="C1" s="3" t="inlineStr">
        <is>
          <t>Target 2 (촉진 실체화·자입 기준점)</t>
        </is>
      </c>
      <c r="D1" s="3" t="inlineStr">
        <is>
          <t>Target 3 (WHO 위치)</t>
        </is>
      </c>
      <c r="E1" s="3" t="inlineStr">
        <is>
          <t>비고</t>
        </is>
      </c>
    </row>
    <row r="2">
      <c r="A2" s="4" t="inlineStr">
        <is>
          <t>근거</t>
        </is>
      </c>
      <c r="B2" s="4" t="inlineStr">
        <is>
          <t>《灵枢·本输》 "太渊鱼后一寸陷者中也"; 《甲乙》 "掌后陷者中"</t>
        </is>
      </c>
      <c r="C2" s="4" t="inlineStr">
        <is>
          <t>"陷者中" → 노쪽손목굽힘근 힘줄(FMA:38582)–긴엄지벌림근 힘줄(FMA:38515) 간극, 노동맥 FMA:22730 통과</t>
        </is>
      </c>
      <c r="D2" s="4" t="inlineStr">
        <is>
          <t>WHO 2008·국표 2006 "桡骨茎突与舟状骨之间，拇长展肌腱尺侧凹陷中"</t>
        </is>
      </c>
      <c r="E2" s="4" t="inlineStr">
        <is>
          <t>通考 L2225·2207·2299; 通鉴 L813·1039·1053; 经络通鉴 11편 L423</t>
        </is>
      </c>
    </row>
    <row r="3">
      <c r="A3" s="4" t="inlineStr">
        <is>
          <t>X</t>
        </is>
      </c>
      <c r="B3" s="4" t="inlineStr">
        <is>
          <t>오목(종향 기준 모호)</t>
        </is>
      </c>
      <c r="C3" s="4" t="inlineStr">
        <is>
          <t>두 힘줄 사이 간극 가운데</t>
        </is>
      </c>
      <c r="D3" s="4" t="inlineStr">
        <is>
          <t>긴엄지벌림근 힘줄 자쪽 오목</t>
        </is>
      </c>
      <c r="E3" s="4" t="inlineStr">
        <is>
          <t>mm 실측 없음</t>
        </is>
      </c>
    </row>
    <row r="4">
      <c r="A4" s="4" t="inlineStr">
        <is>
          <t>Y</t>
        </is>
      </c>
      <c r="B4" s="4" t="inlineStr">
        <is>
          <t>먼쪽 손목 주름 부근(鱼际穴 기준 1寸 환산 추정)</t>
        </is>
      </c>
      <c r="C4" s="4" t="inlineStr">
        <is>
          <t>먼쪽 손목 주름</t>
        </is>
      </c>
      <c r="D4" s="4" t="inlineStr">
        <is>
          <t>먼쪽 손목 주름 노쪽 끝</t>
        </is>
      </c>
      <c r="E4" s="4" t="inlineStr"/>
    </row>
    <row r="5">
      <c r="A5" s="4" t="n"/>
      <c r="B5" s="4" t="n"/>
      <c r="C5" s="4" t="n"/>
      <c r="D5" s="4" t="n"/>
      <c r="E5" s="4" t="n"/>
    </row>
    <row r="6">
      <c r="A6" s="4" t="inlineStr">
        <is>
          <t>쌍</t>
        </is>
      </c>
      <c r="B6" s="4" t="inlineStr">
        <is>
          <t>Δ (추정)</t>
        </is>
      </c>
      <c r="C6" s="4" t="inlineStr">
        <is>
          <t>근거</t>
        </is>
      </c>
      <c r="D6" s="4" t="inlineStr">
        <is>
          <t>판정 (10mm 기준)</t>
        </is>
      </c>
      <c r="E6" s="4" t="inlineStr"/>
    </row>
    <row r="7">
      <c r="A7" s="4" t="inlineStr">
        <is>
          <t>T1–T2</t>
        </is>
      </c>
      <c r="B7" s="4" t="inlineStr">
        <is>
          <t>≈ 0~5mm</t>
        </is>
      </c>
      <c r="C7" s="4" t="inlineStr">
        <is>
          <t>최초 기술이 陷者中으로 위치 지정</t>
        </is>
      </c>
      <c r="D7" s="4" t="inlineStr">
        <is>
          <t>병합</t>
        </is>
      </c>
      <c r="E7" s="4" t="inlineStr"/>
    </row>
    <row r="8">
      <c r="A8" s="4" t="inlineStr">
        <is>
          <t>T2–T3</t>
        </is>
      </c>
      <c r="B8" s="4" t="inlineStr">
        <is>
          <t>≈ 0mm</t>
        </is>
      </c>
      <c r="C8" s="4" t="inlineStr">
        <is>
          <t>같은 힘줄 사이 오목</t>
        </is>
      </c>
      <c r="D8" s="4" t="inlineStr">
        <is>
          <t>병합</t>
        </is>
      </c>
      <c r="E8" s="4" t="inlineStr"/>
    </row>
    <row r="9">
      <c r="A9" s="4" t="inlineStr">
        <is>
          <t>T1–T3</t>
        </is>
      </c>
      <c r="B9" s="4" t="inlineStr">
        <is>
          <t>≈ 0~5mm</t>
        </is>
      </c>
      <c r="C9" s="4" t="inlineStr">
        <is>
          <t>通鉴 L1053 "所述位置相同"</t>
        </is>
      </c>
      <c r="D9" s="4" t="inlineStr">
        <is>
          <t>병합</t>
        </is>
      </c>
      <c r="E9" s="4" t="inlineStr"/>
    </row>
    <row r="10">
      <c r="A10" s="4" t="inlineStr">
        <is>
          <t>결론</t>
        </is>
      </c>
      <c r="B10" s="4" t="inlineStr">
        <is>
          <t>Target 1≡2≡3 (단일, 분기 없음)</t>
        </is>
      </c>
      <c r="C10" s="4" t="inlineStr"/>
      <c r="D10" s="4" t="inlineStr"/>
      <c r="E10" s="4" t="inlineStr">
        <is>
          <t>구 단일 Target T1과 위치 동일 → 이중 채점 승계</t>
        </is>
      </c>
    </row>
    <row r="11">
      <c r="A11" s="4" t="n"/>
      <c r="B11" s="4" t="n"/>
      <c r="C11" s="4" t="n"/>
      <c r="D11" s="4" t="n"/>
      <c r="E11" s="4" t="n"/>
    </row>
    <row r="12">
      <c r="A12" s="4" t="inlineStr">
        <is>
          <t>참고 변이(Tri-Target 밖)</t>
        </is>
      </c>
      <c r="B12" s="4" t="inlineStr">
        <is>
          <t>Δ (추정)</t>
        </is>
      </c>
      <c r="C12" s="4" t="inlineStr">
        <is>
          <t>근거</t>
        </is>
      </c>
      <c r="D12" s="4" t="inlineStr">
        <is>
          <t>처리 (Rank 5 Target 제외 규칙)</t>
        </is>
      </c>
      <c r="E12" s="4" t="inlineStr"/>
    </row>
    <row r="13">
      <c r="A13" s="4" t="inlineStr">
        <is>
          <t>"鱼后一寸" 문자 해석(엄지두덩 몸쪽 가장자리+1寸)</t>
        </is>
      </c>
      <c r="B13" s="4" t="inlineStr">
        <is>
          <t>≈ 20~23mm</t>
        </is>
      </c>
      <c r="C13" s="4" t="inlineStr">
        <is>
          <t>그 높이에 陷者中 없음, 本输가 경거 "寸口中"으로 별도 기술, 经络通鉴 01편 L733 맥구 범위</t>
        </is>
      </c>
      <c r="D13" s="4" t="inlineStr">
        <is>
          <t>Target 제외(후대 해석 이설) — 맥구 범위 흔적으로만 기록</t>
        </is>
      </c>
      <c r="E13" s="4" t="inlineStr"/>
    </row>
    <row r="14">
      <c r="A14" s="4" t="inlineStr">
        <is>
          <t>③ 일본 "远端腕横纹上五分"(동맥 표지 수정안)</t>
        </is>
      </c>
      <c r="B14" s="4" t="inlineStr">
        <is>
          <t>≈ 10~11.5mm (경계값)</t>
        </is>
      </c>
      <c r="C14" s="4" t="inlineStr">
        <is>
          <t>5分=0.5 同身寸, 1寸 20~23mm 가정</t>
        </is>
      </c>
      <c r="D14" s="4" t="inlineStr">
        <is>
          <t>Target 제외(현대 단체 제안 정위) — 실측 Δ와 무관하게 분기·채점 없음, 참고 이설</t>
        </is>
      </c>
      <c r="E14" s="4" t="inlineStr">
        <is>
          <t>通考 L2223·2299</t>
        </is>
      </c>
    </row>
    <row r="15">
      <c r="A15" s="4" t="n"/>
      <c r="B15" s="4" t="n"/>
      <c r="C15" s="4" t="n"/>
      <c r="D15" s="4" t="n"/>
      <c r="E15" s="4" t="n"/>
    </row>
    <row r="16">
      <c r="A16" s="4" t="inlineStr">
        <is>
          <t>구판 대응</t>
        </is>
      </c>
      <c r="B16" s="4" t="inlineStr">
        <is>
          <t>구 단일 Target T1 → Target 1≡2≡3; 구 ① → Target 1; 구 ② → Target 3; 구 ③ → 참고 변이</t>
        </is>
      </c>
      <c r="C16" s="4" t="inlineStr"/>
      <c r="D16" s="4" t="inlineStr"/>
      <c r="E16" s="4" t="inlineStr">
        <is>
          <t>구판 "Δ ≤ 15mm 분기 불요" → 10mm 기준 재확인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지표</t>
        </is>
      </c>
      <c r="B1" t="inlineStr">
        <is>
          <t>가중치</t>
        </is>
      </c>
      <c r="C1" t="inlineStr">
        <is>
          <t>채점자 A</t>
        </is>
      </c>
      <c r="D1" t="inlineStr">
        <is>
          <t>채점자 B</t>
        </is>
      </c>
      <c r="E1" t="inlineStr">
        <is>
          <t>최종</t>
        </is>
      </c>
      <c r="F1" t="inlineStr">
        <is>
          <t>조정</t>
        </is>
      </c>
      <c r="G1" t="inlineStr">
        <is>
          <t>루브릭 근거</t>
        </is>
      </c>
      <c r="H1" t="inlineStr">
        <is>
          <t>근거 포인터</t>
        </is>
      </c>
    </row>
    <row r="2">
      <c r="A2" t="inlineStr">
        <is>
          <t>S_orig ① 최초 기술</t>
        </is>
      </c>
      <c r="C2" t="n">
        <v>100</v>
      </c>
      <c r="D2" t="n">
        <v>75</v>
      </c>
      <c r="E2" t="n">
        <v>75</v>
      </c>
      <c r="F2" t="inlineStr">
        <is>
          <t>25점 차 조정</t>
        </is>
      </c>
      <c r="G2" t="inlineStr">
        <is>
          <t>《本输》 위치+《明堂》 심도 vs 早期 '掌后' 모호</t>
        </is>
      </c>
      <c r="H2" t="inlineStr">
        <is>
          <t>通考 L2225·2431·2299</t>
        </is>
      </c>
    </row>
    <row r="3">
      <c r="A3" t="inlineStr">
        <is>
          <t>S_orig ② 후대 일치율</t>
        </is>
      </c>
      <c r="C3" t="n">
        <v>75</v>
      </c>
      <c r="D3" t="n">
        <v>75</v>
      </c>
      <c r="E3" t="n">
        <v>75</v>
      </c>
      <c r="G3" t="inlineStr">
        <is>
          <t>위치 일치, 동맥 표지·심도 분산</t>
        </is>
      </c>
      <c r="H3" t="inlineStr">
        <is>
          <t>通鉴 L1053; 通考 L2209</t>
        </is>
      </c>
    </row>
    <row r="4">
      <c r="A4" t="inlineStr">
        <is>
          <t>S_orig ③ 이명 해소</t>
        </is>
      </c>
      <c r="C4" t="n">
        <v>75</v>
      </c>
      <c r="D4" t="n">
        <v>75</v>
      </c>
      <c r="E4" t="n">
        <v>75</v>
      </c>
      <c r="G4" t="inlineStr">
        <is>
          <t>피휘·오독·오귀속 연대순 해소</t>
        </is>
      </c>
      <c r="H4" t="inlineStr">
        <is>
          <t>通考 L2205·2221·2473; KJH 행64</t>
        </is>
      </c>
    </row>
    <row r="5">
      <c r="A5" t="inlineStr">
        <is>
          <t>S_orig ④ 通考·经络通鉴 교감</t>
        </is>
      </c>
      <c r="C5" t="n">
        <v>75</v>
      </c>
      <c r="D5" t="n">
        <v>75</v>
      </c>
      <c r="E5" t="n">
        <v>75</v>
      </c>
      <c r="G5" t="inlineStr">
        <is>
          <t>동맥 표지·鱼际 별명 교정, 龙渊 미해결; 2026-10-25 经络通鉴 재확인(맥구 범위·刺禁 臂太阴脉) → 단계 불변</t>
        </is>
      </c>
      <c r="H5" t="inlineStr">
        <is>
          <t>通考 L2299·2361·2473; 经络通鉴 01편 L733, 02편 L653</t>
        </is>
      </c>
    </row>
    <row r="6">
      <c r="A6" t="inlineStr">
        <is>
          <t>S_orig (평균)</t>
        </is>
      </c>
      <c r="B6" t="n">
        <v>0.4</v>
      </c>
      <c r="C6" t="n">
        <v>81.25</v>
      </c>
      <c r="D6" t="n">
        <v>75</v>
      </c>
      <c r="E6" t="n">
        <v>75</v>
      </c>
      <c r="F6" t="inlineStr">
        <is>
          <t>①조정 후 75</t>
        </is>
      </c>
    </row>
    <row r="7">
      <c r="A7" t="inlineStr">
        <is>
          <t>S_clarity</t>
        </is>
      </c>
      <c r="B7" t="n">
        <v>0.35</v>
      </c>
      <c r="C7" t="n">
        <v>75</v>
      </c>
      <c r="D7" t="n">
        <v>50</v>
      </c>
      <c r="E7" t="n">
        <v>75</v>
      </c>
      <c r="F7" t="inlineStr">
        <is>
          <t>25점 차 조정</t>
        </is>
      </c>
      <c r="G7" t="inlineStr">
        <is>
          <t>정위 표지·신경·혈관 일치, 근육 수록 높이 차이</t>
        </is>
      </c>
      <c r="H7" t="inlineStr">
        <is>
          <t>교재 행62; FMA:22730·38459</t>
        </is>
      </c>
    </row>
    <row r="8">
      <c r="A8" t="inlineStr">
        <is>
          <t>S_reflex</t>
        </is>
      </c>
      <c r="B8" t="n">
        <v>0.25</v>
      </c>
      <c r="C8" t="n">
        <v>50</v>
      </c>
      <c r="D8" t="n">
        <v>50</v>
      </c>
      <c r="E8" t="n">
        <v>50</v>
      </c>
      <c r="G8" t="inlineStr">
        <is>
          <t>동물 연구만(LU9 단독·대조), 인체 다혈위 RCT, B-Check 7</t>
        </is>
      </c>
      <c r="H8" t="inlineStr">
        <is>
          <t>papers.id 2240·2238·2241·2244·1807·2237</t>
        </is>
      </c>
    </row>
    <row r="9">
      <c r="A9" t="inlineStr">
        <is>
          <t>SI (S_safety)</t>
        </is>
      </c>
      <c r="B9" t="inlineStr">
        <is>
          <t>별도</t>
        </is>
      </c>
      <c r="C9" t="n">
        <v>50</v>
      </c>
      <c r="D9" t="n">
        <v>75</v>
      </c>
      <c r="E9" t="n">
        <v>50</v>
      </c>
      <c r="F9" t="inlineStr">
        <is>
          <t>25점 차 조정</t>
        </is>
      </c>
      <c r="G9" t="inlineStr">
        <is>
          <t>노동맥 동층, 촉지 회피, 刺禁论·不宜用针</t>
        </is>
      </c>
      <c r="H9" t="inlineStr">
        <is>
          <t>자침깊이 DB 행63; 通考 L2147·2437·2451</t>
        </is>
      </c>
    </row>
    <row r="11">
      <c r="A11" t="inlineStr">
        <is>
          <t>ARI-Core</t>
        </is>
      </c>
      <c r="B11">
        <f>0.40×75+0.35×75+0.25×50</f>
        <v/>
      </c>
      <c r="E11" t="inlineStr">
        <is>
          <t>68.75 ± 0</t>
        </is>
      </c>
      <c r="F11" t="inlineStr">
        <is>
          <t>등급 C</t>
        </is>
      </c>
      <c r="G11" t="inlineStr">
        <is>
          <t>게이트 미적용</t>
        </is>
      </c>
      <c r="H11" t="inlineStr">
        <is>
          <t>민감도(등가) 66.7 C 불변</t>
        </is>
      </c>
    </row>
    <row r="12">
      <c r="A12" t="inlineStr">
        <is>
          <t>표준 표기</t>
        </is>
      </c>
      <c r="B12" t="inlineStr">
        <is>
          <t>ARI v3.0 | ARI-Core 68.75 ± 0 (C) | SI 50 | 잠정 가중치 0.40/0.35/0.25 | 민감도(등가중치): 66.7 (C, 등급 불변)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내용</t>
        </is>
      </c>
      <c r="C1" t="inlineStr">
        <is>
          <t>A</t>
        </is>
      </c>
      <c r="D1" t="inlineStr">
        <is>
          <t>B</t>
        </is>
      </c>
      <c r="E1" t="inlineStr">
        <is>
          <t>최종</t>
        </is>
      </c>
      <c r="F1" t="inlineStr">
        <is>
          <t>참조 ID</t>
        </is>
      </c>
      <c r="G1" t="inlineStr">
        <is>
          <t>papers.id</t>
        </is>
      </c>
      <c r="H1" t="inlineStr">
        <is>
          <t>근거</t>
        </is>
      </c>
    </row>
    <row r="2">
      <c r="A2" t="inlineStr">
        <is>
          <t>①</t>
        </is>
      </c>
      <c r="B2" t="inlineStr">
        <is>
          <t>말초 실체</t>
        </is>
      </c>
      <c r="C2" t="n">
        <v>2</v>
      </c>
      <c r="D2" t="n">
        <v>2</v>
      </c>
      <c r="E2" t="n">
        <v>2</v>
      </c>
      <c r="F2" t="inlineStr">
        <is>
          <t>B1-01·B1-03·B1-04·B2-09 (+FMA)</t>
        </is>
      </c>
      <c r="H2" t="inlineStr">
        <is>
          <t>노동맥·노신경 얕은가지·LACN 일치, FMA exact</t>
        </is>
      </c>
    </row>
    <row r="3">
      <c r="A3" t="inlineStr">
        <is>
          <t>②</t>
        </is>
      </c>
      <c r="B3" t="inlineStr">
        <is>
          <t>분절 정합</t>
        </is>
      </c>
      <c r="C3" t="n">
        <v>1</v>
      </c>
      <c r="D3" t="n">
        <v>1</v>
      </c>
      <c r="E3" t="n">
        <v>1</v>
      </c>
      <c r="F3" t="inlineStr">
        <is>
          <t>B1-02·B3-03·B3-05 (+FMA)</t>
        </is>
      </c>
      <c r="H3" t="inlineStr">
        <is>
          <t>C5~T1 vs 폐·심 T1~T4, T1만 겹침</t>
        </is>
      </c>
    </row>
    <row r="4">
      <c r="A4" t="inlineStr">
        <is>
          <t>③</t>
        </is>
      </c>
      <c r="B4" t="inlineStr">
        <is>
          <t>구심 섬유·수용체</t>
        </is>
      </c>
      <c r="C4" t="n">
        <v>1</v>
      </c>
      <c r="D4" t="n">
        <v>1</v>
      </c>
      <c r="E4" t="n">
        <v>1</v>
      </c>
      <c r="F4" t="inlineStr">
        <is>
          <t>B3-06</t>
        </is>
      </c>
      <c r="H4" t="inlineStr">
        <is>
          <t>LU9 특이 연구 없음, 유추</t>
        </is>
      </c>
    </row>
    <row r="5">
      <c r="A5" t="inlineStr">
        <is>
          <t>④</t>
        </is>
      </c>
      <c r="B5" t="inlineStr">
        <is>
          <t>중추 경로</t>
        </is>
      </c>
      <c r="C5" t="n">
        <v>1</v>
      </c>
      <c r="D5" t="n">
        <v>1</v>
      </c>
      <c r="E5" t="n">
        <v>1</v>
      </c>
      <c r="F5" t="inlineStr">
        <is>
          <t>B3-12</t>
        </is>
      </c>
      <c r="G5" t="inlineStr">
        <is>
          <t>2235</t>
        </is>
      </c>
      <c r="H5" t="inlineStr">
        <is>
          <t>LHA·FN DA/5-HT(쥐), PC5-6 rVLM 유추</t>
        </is>
      </c>
    </row>
    <row r="6">
      <c r="A6" t="inlineStr">
        <is>
          <t>⑤</t>
        </is>
      </c>
      <c r="B6" t="inlineStr">
        <is>
          <t>원심·표적 효과</t>
        </is>
      </c>
      <c r="C6" t="n">
        <v>2</v>
      </c>
      <c r="D6" t="n">
        <v>1</v>
      </c>
      <c r="E6" t="n">
        <v>1</v>
      </c>
      <c r="F6" t="inlineStr">
        <is>
          <t>B3-05</t>
        </is>
      </c>
      <c r="G6" t="inlineStr">
        <is>
          <t>2240·2238·2241·2244</t>
        </is>
      </c>
      <c r="H6" t="inlineStr">
        <is>
          <t>폐 환기 개선 일치, 심장 효과 약함</t>
        </is>
      </c>
    </row>
    <row r="7">
      <c r="A7" t="inlineStr">
        <is>
          <t>⑥</t>
        </is>
      </c>
      <c r="B7" t="inlineStr">
        <is>
          <t>인체 전환</t>
        </is>
      </c>
      <c r="C7" t="n">
        <v>1</v>
      </c>
      <c r="D7" t="n">
        <v>1</v>
      </c>
      <c r="E7" t="n">
        <v>1</v>
      </c>
      <c r="F7" t="inlineStr">
        <is>
          <t>B4-04·B4-05</t>
        </is>
      </c>
      <c r="G7" t="inlineStr">
        <is>
          <t>1807·2237</t>
        </is>
      </c>
      <c r="H7" t="inlineStr">
        <is>
          <t>다혈위 RCT만</t>
        </is>
      </c>
    </row>
    <row r="8">
      <c r="A8" t="inlineStr">
        <is>
          <t>합계</t>
        </is>
      </c>
      <c r="C8" t="n">
        <v>8</v>
      </c>
      <c r="D8" t="n">
        <v>7</v>
      </c>
      <c r="E8" t="n">
        <v>7</v>
      </c>
      <c r="H8" t="inlineStr">
        <is>
          <t>미부합(&lt;8) → 가설, 동물 한정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문헌</t>
        </is>
      </c>
      <c r="B1" t="inlineStr">
        <is>
          <t>푼</t>
        </is>
      </c>
      <c r="C1" t="inlineStr">
        <is>
          <t>mm(×2.3)</t>
        </is>
      </c>
      <c r="D1" t="inlineStr">
        <is>
          <t>Layer(추정)</t>
        </is>
      </c>
      <c r="E1" t="inlineStr">
        <is>
          <t>비고</t>
        </is>
      </c>
    </row>
    <row r="2">
      <c r="A2" t="inlineStr">
        <is>
          <t>황제명당경</t>
        </is>
      </c>
      <c r="B2" t="n">
        <v>2</v>
      </c>
      <c r="C2" t="n">
        <v>4.6</v>
      </c>
      <c r="D2" t="inlineStr">
        <is>
          <t>1~2</t>
        </is>
      </c>
      <c r="E2" t="inlineStr">
        <is>
          <t>刺入二分</t>
        </is>
      </c>
    </row>
    <row r="3">
      <c r="A3" t="inlineStr">
        <is>
          <t>침구갑을경</t>
        </is>
      </c>
      <c r="B3" t="n">
        <v>2</v>
      </c>
      <c r="C3" t="n">
        <v>4.6</v>
      </c>
      <c r="D3" t="inlineStr">
        <is>
          <t>1~2</t>
        </is>
      </c>
    </row>
    <row r="4">
      <c r="A4" t="inlineStr">
        <is>
          <t>침구경험방</t>
        </is>
      </c>
      <c r="B4" t="n">
        <v>2</v>
      </c>
      <c r="C4" t="n">
        <v>4.6</v>
      </c>
      <c r="D4" t="inlineStr">
        <is>
          <t>1~2</t>
        </is>
      </c>
    </row>
    <row r="5">
      <c r="A5" t="inlineStr">
        <is>
          <t>동의보감(동인)</t>
        </is>
      </c>
      <c r="B5" t="n">
        <v>2</v>
      </c>
      <c r="C5" t="n">
        <v>4.6</v>
      </c>
      <c r="D5" t="inlineStr">
        <is>
          <t>1~2</t>
        </is>
      </c>
    </row>
    <row r="6">
      <c r="A6" t="inlineStr">
        <is>
          <t>경락수혈학 공통교재</t>
        </is>
      </c>
      <c r="B6" t="inlineStr">
        <is>
          <t>3~5</t>
        </is>
      </c>
      <c r="C6" t="inlineStr">
        <is>
          <t>6.9~11.5</t>
        </is>
      </c>
      <c r="D6" t="inlineStr">
        <is>
          <t>2</t>
        </is>
      </c>
    </row>
    <row r="7">
      <c r="A7" t="inlineStr">
        <is>
          <t>침구의학 공통교재</t>
        </is>
      </c>
      <c r="B7" t="inlineStr">
        <is>
          <t>3~5</t>
        </is>
      </c>
      <c r="C7" t="inlineStr">
        <is>
          <t>6.9~11.5</t>
        </is>
      </c>
      <c r="D7" t="inlineStr">
        <is>
          <t>2</t>
        </is>
      </c>
    </row>
    <row r="8">
      <c r="A8" t="inlineStr">
        <is>
          <t>침구수혈통고</t>
        </is>
      </c>
      <c r="B8" t="inlineStr">
        <is>
          <t>3~5</t>
        </is>
      </c>
      <c r="C8" t="inlineStr">
        <is>
          <t>6.9~11.5</t>
        </is>
      </c>
      <c r="D8" t="inlineStr">
        <is>
          <t>2</t>
        </is>
      </c>
      <c r="E8" t="inlineStr">
        <is>
          <t>直刺0.3~0.5寸</t>
        </is>
      </c>
    </row>
    <row r="9">
      <c r="A9" t="inlineStr">
        <is>
          <t>4·5·6판 针灸学(참고)</t>
        </is>
      </c>
      <c r="B9" t="inlineStr">
        <is>
          <t>5~10</t>
        </is>
      </c>
      <c r="C9" t="inlineStr">
        <is>
          <t>11.5~23.0</t>
        </is>
      </c>
      <c r="D9" t="inlineStr">
        <is>
          <t>2~5</t>
        </is>
      </c>
      <c r="E9" t="inlineStr">
        <is>
          <t>7판에서 축소</t>
        </is>
      </c>
    </row>
    <row r="10">
      <c r="A10" t="inlineStr">
        <is>
          <t>针方六集(참고)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不宜用针</t>
        </is>
      </c>
    </row>
    <row r="11">
      <c r="A11" t="inlineStr">
        <is>
          <t>출처</t>
        </is>
      </c>
      <c r="B11" t="inlineStr">
        <is>
          <t>자침깊이 DB 시트1 행 63 (N0=61). 금침 '0'·blank 없음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papers.id</t>
        </is>
      </c>
      <c r="B1" t="inlineStr">
        <is>
          <t>연도</t>
        </is>
      </c>
      <c r="C1" t="inlineStr">
        <is>
          <t>저널</t>
        </is>
      </c>
      <c r="D1" t="inlineStr">
        <is>
          <t>PMID</t>
        </is>
      </c>
      <c r="E1" t="inlineStr">
        <is>
          <t>DOI</t>
        </is>
      </c>
      <c r="F1" t="inlineStr">
        <is>
          <t>설계</t>
        </is>
      </c>
      <c r="G1" t="inlineStr">
        <is>
          <t>내용</t>
        </is>
      </c>
    </row>
    <row r="2">
      <c r="A2" t="n">
        <v>2240</v>
      </c>
      <c r="B2" t="n">
        <v>2022</v>
      </c>
      <c r="C2" t="inlineStr">
        <is>
          <t>Zhen Ci Yan Jiu</t>
        </is>
      </c>
      <c r="D2" t="inlineStr">
        <is>
          <t>35880273</t>
        </is>
      </c>
      <c r="E2" t="inlineStr">
        <is>
          <t>10.13702/j.1000-0607.20211299</t>
        </is>
      </c>
      <c r="F2" t="inlineStr">
        <is>
          <t>동물, LU9 단독</t>
        </is>
      </c>
      <c r="G2" t="inlineStr">
        <is>
          <t>폐손상 쥐 폐 환기 개선</t>
        </is>
      </c>
    </row>
    <row r="3">
      <c r="A3" t="n">
        <v>2238</v>
      </c>
      <c r="B3" t="n">
        <v>2017</v>
      </c>
      <c r="C3" t="inlineStr">
        <is>
          <t>Zhongguo Zhen Jiu</t>
        </is>
      </c>
      <c r="D3" t="inlineStr">
        <is>
          <t>29231479</t>
        </is>
      </c>
      <c r="E3" t="inlineStr">
        <is>
          <t>10.13703/j.0255-2930.2017.02.013</t>
        </is>
      </c>
      <c r="F3" t="inlineStr">
        <is>
          <t>동물, LU9 대조</t>
        </is>
      </c>
      <c r="G3" t="inlineStr">
        <is>
          <t>太渊군 효과 뚜렷하지 않음</t>
        </is>
      </c>
    </row>
    <row r="4">
      <c r="A4" t="n">
        <v>2241</v>
      </c>
      <c r="B4" t="n">
        <v>2018</v>
      </c>
      <c r="C4" t="inlineStr">
        <is>
          <t>Zhen Ci Yan Jiu</t>
        </is>
      </c>
      <c r="D4" t="inlineStr">
        <is>
          <t>29560633</t>
        </is>
      </c>
      <c r="E4" t="inlineStr">
        <is>
          <t>10.13702/j.1000-0607.170121</t>
        </is>
      </c>
      <c r="F4" t="inlineStr">
        <is>
          <t>동물, LU9 대조</t>
        </is>
      </c>
      <c r="G4" t="inlineStr">
        <is>
          <t>HCN2, 심경&gt;폐경</t>
        </is>
      </c>
    </row>
    <row r="5">
      <c r="A5" t="n">
        <v>2244</v>
      </c>
      <c r="B5" t="n">
        <v>2024</v>
      </c>
      <c r="C5" t="inlineStr">
        <is>
          <t>Acupunct Med</t>
        </is>
      </c>
      <c r="D5" t="inlineStr">
        <is>
          <t>39579035</t>
        </is>
      </c>
      <c r="E5" t="inlineStr">
        <is>
          <t>10.1177/09645284241298716</t>
        </is>
      </c>
      <c r="F5" t="inlineStr">
        <is>
          <t>동물, LU9-LU8 대조</t>
        </is>
      </c>
      <c r="G5" t="inlineStr">
        <is>
          <t>HT5-HT7 우세</t>
        </is>
      </c>
    </row>
    <row r="6">
      <c r="A6" t="n">
        <v>2235</v>
      </c>
      <c r="B6" t="n">
        <v>2021</v>
      </c>
      <c r="C6" t="inlineStr">
        <is>
          <t>Zhongguo Zhen Jiu</t>
        </is>
      </c>
      <c r="D6" t="inlineStr">
        <is>
          <t>34002567</t>
        </is>
      </c>
      <c r="E6" t="inlineStr">
        <is>
          <t>10.13703/j.0255-2930.20200509-k0001</t>
        </is>
      </c>
      <c r="F6" t="inlineStr">
        <is>
          <t>동물, LU9+LU7</t>
        </is>
      </c>
      <c r="G6" t="inlineStr">
        <is>
          <t>LHA/FN DA·5-HT</t>
        </is>
      </c>
    </row>
    <row r="7">
      <c r="A7" t="n">
        <v>2236</v>
      </c>
      <c r="B7" t="n">
        <v>2020</v>
      </c>
      <c r="C7" t="inlineStr">
        <is>
          <t>Zhongguo Zhen Jiu</t>
        </is>
      </c>
      <c r="D7" t="inlineStr">
        <is>
          <t>33068354</t>
        </is>
      </c>
      <c r="E7" t="inlineStr">
        <is>
          <t>10.13703/j.0255-2930.20190811-k0004</t>
        </is>
      </c>
      <c r="F7" t="inlineStr">
        <is>
          <t>동물, LU9+LU7</t>
        </is>
      </c>
      <c r="G7" t="inlineStr">
        <is>
          <t>NF-κB</t>
        </is>
      </c>
    </row>
    <row r="8">
      <c r="A8" t="n">
        <v>2233</v>
      </c>
      <c r="B8" t="n">
        <v>2022</v>
      </c>
      <c r="C8" t="inlineStr">
        <is>
          <t>Zhongguo Zhen Jiu</t>
        </is>
      </c>
      <c r="D8" t="inlineStr">
        <is>
          <t>36397226</t>
        </is>
      </c>
      <c r="E8" t="inlineStr">
        <is>
          <t>10.13703/j.0255-2930.20211201-k0004</t>
        </is>
      </c>
      <c r="F8" t="inlineStr">
        <is>
          <t>동물, 다혈위</t>
        </is>
      </c>
      <c r="G8" t="inlineStr">
        <is>
          <t>저산소</t>
        </is>
      </c>
    </row>
    <row r="9">
      <c r="A9" t="n">
        <v>2002</v>
      </c>
      <c r="B9" t="n">
        <v>2019</v>
      </c>
      <c r="C9" t="inlineStr">
        <is>
          <t>Zhen Ci Yan Jiu</t>
        </is>
      </c>
      <c r="D9" t="inlineStr">
        <is>
          <t>30773865</t>
        </is>
      </c>
      <c r="E9" t="inlineStr">
        <is>
          <t>10.13702/j.1000-0607.180396</t>
        </is>
      </c>
      <c r="F9" t="inlineStr">
        <is>
          <t>동물 해부 대응</t>
        </is>
      </c>
      <c r="G9" t="inlineStr">
        <is>
          <t>쥐 경혈도</t>
        </is>
      </c>
    </row>
    <row r="10">
      <c r="A10" t="n">
        <v>1807</v>
      </c>
      <c r="B10" t="n">
        <v>2025</v>
      </c>
      <c r="C10" t="inlineStr">
        <is>
          <t>Ann Med</t>
        </is>
      </c>
      <c r="D10" t="inlineStr">
        <is>
          <t>40953233</t>
        </is>
      </c>
      <c r="E10" t="inlineStr">
        <is>
          <t>10.1080/07853890.2025.2560684</t>
        </is>
      </c>
      <c r="F10" t="inlineStr">
        <is>
          <t>인체 RCT, 다혈위</t>
        </is>
      </c>
      <c r="G10" t="inlineStr">
        <is>
          <t>VATS 폐합병증↓</t>
        </is>
      </c>
    </row>
    <row r="11">
      <c r="A11" t="n">
        <v>2237</v>
      </c>
      <c r="B11" t="n">
        <v>2020</v>
      </c>
      <c r="C11" t="inlineStr">
        <is>
          <t>Zhongguo Zhen Jiu</t>
        </is>
      </c>
      <c r="D11" t="inlineStr">
        <is>
          <t>32394654</t>
        </is>
      </c>
      <c r="E11" t="inlineStr">
        <is>
          <t>10.13703/j.0255-2930.20190412-0007</t>
        </is>
      </c>
      <c r="F11" t="inlineStr">
        <is>
          <t>인체 RCT, 다혈위</t>
        </is>
      </c>
      <c r="G11" t="inlineStr">
        <is>
          <t>FEV1·PEF↑</t>
        </is>
      </c>
    </row>
    <row r="12">
      <c r="A12" t="n">
        <v>1805</v>
      </c>
      <c r="B12" t="n">
        <v>2018</v>
      </c>
      <c r="C12" t="inlineStr">
        <is>
          <t>Zhongguo Zhen Jiu</t>
        </is>
      </c>
      <c r="D12" t="inlineStr">
        <is>
          <t>29354929</t>
        </is>
      </c>
      <c r="E12" t="inlineStr">
        <is>
          <t>10.13703/j.0255-2930.2018.01.002</t>
        </is>
      </c>
      <c r="F12" t="inlineStr">
        <is>
          <t>인체, 다혈위</t>
        </is>
      </c>
      <c r="G12" t="inlineStr">
        <is>
          <t>천식</t>
        </is>
      </c>
    </row>
    <row r="13">
      <c r="A13" t="n">
        <v>2234</v>
      </c>
      <c r="B13" t="n">
        <v>2022</v>
      </c>
      <c r="C13" t="inlineStr">
        <is>
          <t>Zhongguo Zhen Jiu</t>
        </is>
      </c>
      <c r="D13" t="inlineStr">
        <is>
          <t>35272405</t>
        </is>
      </c>
      <c r="E13" t="inlineStr">
        <is>
          <t>10.13703/j.0255-2930.20210406-0004</t>
        </is>
      </c>
      <c r="F13" t="inlineStr">
        <is>
          <t>인체, 다혈위</t>
        </is>
      </c>
      <c r="G13" t="inlineStr">
        <is>
          <t>코로나 후유증</t>
        </is>
      </c>
    </row>
    <row r="14">
      <c r="A14" t="n">
        <v>2239</v>
      </c>
      <c r="B14" t="n">
        <v>2024</v>
      </c>
      <c r="C14" t="inlineStr">
        <is>
          <t>Zhen Ci Yan Jiu</t>
        </is>
      </c>
      <c r="D14" t="inlineStr">
        <is>
          <t>39433370</t>
        </is>
      </c>
      <c r="E14" t="inlineStr">
        <is>
          <t>10.13702/j.1000-0607.20230690</t>
        </is>
      </c>
      <c r="F14" t="inlineStr">
        <is>
          <t>인체, 다혈위</t>
        </is>
      </c>
    </row>
    <row r="15">
      <c r="A15" t="n">
        <v>2245</v>
      </c>
      <c r="B15" t="n">
        <v>2024</v>
      </c>
      <c r="C15" t="inlineStr">
        <is>
          <t>Photobiomodul Photomed Laser Surg</t>
        </is>
      </c>
      <c r="D15" t="inlineStr">
        <is>
          <t>39446663</t>
        </is>
      </c>
      <c r="E15" t="inlineStr">
        <is>
          <t>10.1089/photob.2024.0106</t>
        </is>
      </c>
      <c r="F15" t="inlineStr">
        <is>
          <t>인체, 다혈위</t>
        </is>
      </c>
      <c r="G15" t="inlineStr">
        <is>
          <t>정중신경 전도</t>
        </is>
      </c>
    </row>
    <row r="16">
      <c r="A16" t="n">
        <v>1964</v>
      </c>
      <c r="B16" t="n">
        <v>2026</v>
      </c>
      <c r="C16" t="inlineStr">
        <is>
          <t>Zhongguo Zhen Jiu</t>
        </is>
      </c>
      <c r="D16" t="inlineStr">
        <is>
          <t>42116771</t>
        </is>
      </c>
      <c r="E16" t="inlineStr">
        <is>
          <t>10.13703/j.0255-2930.20250421-k0004</t>
        </is>
      </c>
      <c r="F16" t="inlineStr">
        <is>
          <t>증례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일시</t>
        </is>
      </c>
      <c r="B1" t="inlineStr">
        <is>
          <t>소스</t>
        </is>
      </c>
      <c r="C1" t="inlineStr">
        <is>
          <t>HTTP</t>
        </is>
      </c>
      <c r="D1" t="inlineStr">
        <is>
          <t>수집</t>
        </is>
      </c>
      <c r="E1" t="inlineStr">
        <is>
          <t>중복제거</t>
        </is>
      </c>
      <c r="F1" t="inlineStr">
        <is>
          <t>신규</t>
        </is>
      </c>
      <c r="G1" t="inlineStr">
        <is>
          <t>비고</t>
        </is>
      </c>
    </row>
    <row r="2">
      <c r="A2" t="inlineStr">
        <is>
          <t>2026-10-23T21:41:58</t>
        </is>
      </c>
      <c r="B2" t="inlineStr">
        <is>
          <t>pubmed</t>
        </is>
      </c>
      <c r="C2" t="n">
        <v>200</v>
      </c>
      <c r="D2" t="n">
        <v>16</v>
      </c>
    </row>
    <row r="3">
      <c r="A3" t="inlineStr">
        <is>
          <t>2026-10-23T21:41:58</t>
        </is>
      </c>
      <c r="B3" t="inlineStr">
        <is>
          <t>openalex</t>
        </is>
      </c>
      <c r="C3" t="n">
        <v>200</v>
      </c>
      <c r="D3" t="n">
        <v>20</v>
      </c>
    </row>
    <row r="4">
      <c r="A4" t="inlineStr">
        <is>
          <t>2026-10-23T21:41:58</t>
        </is>
      </c>
      <c r="B4" t="inlineStr">
        <is>
          <t>crossref</t>
        </is>
      </c>
      <c r="C4" t="n">
        <v>200</v>
      </c>
      <c r="D4" t="n">
        <v>0</v>
      </c>
    </row>
    <row r="5">
      <c r="A5" t="inlineStr">
        <is>
          <t>2026-10-23T21:41:58</t>
        </is>
      </c>
      <c r="B5" t="inlineStr">
        <is>
          <t>all</t>
        </is>
      </c>
      <c r="D5" t="n">
        <v>36</v>
      </c>
      <c r="E5" t="n">
        <v>12</v>
      </c>
      <c r="F5" t="n">
        <v>24</v>
      </c>
      <c r="G5" t="inlineStr">
        <is>
          <t>merged_into_existing=8 batch_dups=4; 'Taiyuan' 지명 오적중 다수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교재 용어</t>
        </is>
      </c>
      <c r="C1" t="inlineStr">
        <is>
          <t>FMA_ID</t>
        </is>
      </c>
      <c r="D1" t="inlineStr">
        <is>
          <t>FMA_label</t>
        </is>
      </c>
      <c r="E1" t="inlineStr">
        <is>
          <t>대응 수준</t>
        </is>
      </c>
      <c r="F1" t="inlineStr">
        <is>
          <t>출처 교재</t>
        </is>
      </c>
      <c r="G1" t="inlineStr">
        <is>
          <t>지배신경(FMA nerve_supply)</t>
        </is>
      </c>
      <c r="H1" t="inlineStr">
        <is>
          <t>상위 줄기(FMA)</t>
        </is>
      </c>
      <c r="I1" t="inlineStr">
        <is>
          <t>척수 분절</t>
        </is>
      </c>
      <c r="J1" t="inlineStr">
        <is>
          <t>비고</t>
        </is>
      </c>
    </row>
    <row r="2">
      <c r="A2" t="inlineStr">
        <is>
          <t>근육</t>
        </is>
      </c>
      <c r="B2" t="inlineStr">
        <is>
          <t>긴엄지벌림근 (abductor pollicis longus)</t>
        </is>
      </c>
      <c r="C2" t="n">
        <v>38515</v>
      </c>
      <c r="D2" t="inlineStr">
        <is>
          <t>Abductor pollicis longus</t>
        </is>
      </c>
      <c r="E2" t="inlineStr">
        <is>
          <t>exact</t>
        </is>
      </c>
      <c r="F2" t="inlineStr">
        <is>
          <t>공통교재</t>
        </is>
      </c>
      <c r="G2" t="inlineStr">
        <is>
          <t>FMA:80295 Nerve to abductor pollicis longus</t>
        </is>
      </c>
      <c r="H2" t="inlineStr">
        <is>
          <t>Posterior interosseous nerve → Radial nerve</t>
        </is>
      </c>
      <c r="I2" t="inlineStr">
        <is>
          <t>C7(primary/segmental), C8(secondary/segmental)</t>
        </is>
      </c>
    </row>
    <row r="3">
      <c r="A3" t="inlineStr">
        <is>
          <t>근육</t>
        </is>
      </c>
      <c r="B3" t="inlineStr">
        <is>
          <t>위팔노근 (brachioradialis)</t>
        </is>
      </c>
      <c r="C3" t="n">
        <v>38485</v>
      </c>
      <c r="D3" t="inlineStr">
        <is>
          <t>Brachioradialis</t>
        </is>
      </c>
      <c r="E3" t="inlineStr">
        <is>
          <t>exact</t>
        </is>
      </c>
      <c r="F3" t="inlineStr">
        <is>
          <t>김재효</t>
        </is>
      </c>
      <c r="G3" t="inlineStr">
        <is>
          <t>FMA:65334 Nerve to brachioradialis</t>
        </is>
      </c>
      <c r="H3" t="inlineStr">
        <is>
          <t>Peripheral segment of radial nerve</t>
        </is>
      </c>
      <c r="I3" t="inlineStr">
        <is>
          <t>C6(primary/segmental), C5(secondary/segmental)</t>
        </is>
      </c>
    </row>
    <row r="4">
      <c r="A4" t="inlineStr">
        <is>
          <t>근육</t>
        </is>
      </c>
      <c r="B4" t="inlineStr">
        <is>
          <t>긴엄지폄근 (extensor pollicis longus)</t>
        </is>
      </c>
      <c r="C4" t="n">
        <v>38521</v>
      </c>
      <c r="D4" t="inlineStr">
        <is>
          <t>Extensor pollicis longus</t>
        </is>
      </c>
      <c r="E4" t="inlineStr">
        <is>
          <t>exact</t>
        </is>
      </c>
      <c r="F4" t="inlineStr">
        <is>
          <t>공통교재</t>
        </is>
      </c>
      <c r="G4" t="inlineStr">
        <is>
          <t>FMA:80289 Nerve to extensor pollicis longus</t>
        </is>
      </c>
      <c r="H4" t="inlineStr">
        <is>
          <t>Posterior interosseous nerve → Radial nerve</t>
        </is>
      </c>
      <c r="I4" t="inlineStr">
        <is>
          <t>C7(primary/segmental), C8(secondary/segmental)</t>
        </is>
      </c>
      <c r="J4" t="inlineStr">
        <is>
          <t>손등쪽 힘줄, 경로 밖</t>
        </is>
      </c>
    </row>
    <row r="5">
      <c r="A5" t="inlineStr">
        <is>
          <t>근육</t>
        </is>
      </c>
      <c r="B5" t="inlineStr">
        <is>
          <t>노쪽손목굽힘근 (flexor carpi radialis)</t>
        </is>
      </c>
      <c r="C5" t="n">
        <v>38459</v>
      </c>
      <c r="D5" t="inlineStr">
        <is>
          <t>Flexor carpi radialis</t>
        </is>
      </c>
      <c r="E5" t="inlineStr">
        <is>
          <t>exact</t>
        </is>
      </c>
      <c r="F5" t="inlineStr">
        <is>
          <t>공통교재·김재효</t>
        </is>
      </c>
      <c r="G5" t="inlineStr">
        <is>
          <t>FMA:44824 Nerve to flexor carpi radialis</t>
        </is>
      </c>
      <c r="H5" t="inlineStr">
        <is>
          <t>Peripheral segment of median nerve</t>
        </is>
      </c>
      <c r="I5" t="inlineStr">
        <is>
          <t>C6(primary/segmental), C7(secondary/segmental)</t>
        </is>
      </c>
      <c r="J5" t="inlineStr">
        <is>
          <t>FMA 구획 오기(arm)</t>
        </is>
      </c>
    </row>
    <row r="6">
      <c r="A6" t="inlineStr">
        <is>
          <t>근육</t>
        </is>
      </c>
      <c r="B6" t="inlineStr">
        <is>
          <t>얕은손가락굽힘근 (flexor digitorum superficialis)</t>
        </is>
      </c>
      <c r="C6" t="n">
        <v>38469</v>
      </c>
      <c r="D6" t="inlineStr">
        <is>
          <t>Flexor digitorum superficialis</t>
        </is>
      </c>
      <c r="E6" t="inlineStr">
        <is>
          <t>exact</t>
        </is>
      </c>
      <c r="F6" t="inlineStr">
        <is>
          <t>김재효</t>
        </is>
      </c>
      <c r="G6" t="inlineStr">
        <is>
          <t>FMA:44826 Nerve to flexor digitorum superficialis</t>
        </is>
      </c>
      <c r="H6" t="inlineStr">
        <is>
          <t>Peripheral segment of median nerve</t>
        </is>
      </c>
      <c r="I6" t="inlineStr">
        <is>
          <t>C8(primary/segmental), T1(secondary/segmental)</t>
        </is>
      </c>
      <c r="J6" t="inlineStr">
        <is>
          <t>근복은 아래팔 몸쪽(높이 밖)</t>
        </is>
      </c>
    </row>
    <row r="7">
      <c r="A7" t="inlineStr">
        <is>
          <t>근육</t>
        </is>
      </c>
      <c r="B7" t="inlineStr">
        <is>
          <t>긴엄지굽힘근 (flexor pollicis longus)</t>
        </is>
      </c>
      <c r="C7" t="n">
        <v>38481</v>
      </c>
      <c r="D7" t="inlineStr">
        <is>
          <t>Flexor pollicis longus</t>
        </is>
      </c>
      <c r="E7" t="inlineStr">
        <is>
          <t>exact</t>
        </is>
      </c>
      <c r="F7" t="inlineStr">
        <is>
          <t>김재효</t>
        </is>
      </c>
      <c r="G7" t="inlineStr">
        <is>
          <t>FMA:44830 Nerve to flexor pollicis longus</t>
        </is>
      </c>
      <c r="H7" t="inlineStr">
        <is>
          <t>Anterior interosseous nerve → Peripheral segment of median nerve</t>
        </is>
      </c>
      <c r="I7" t="inlineStr">
        <is>
          <t>C8(primary/segmental), C7(secondary/segmental)</t>
        </is>
      </c>
      <c r="J7" t="inlineStr">
        <is>
          <t>FMA 구획 오기(arm)</t>
        </is>
      </c>
    </row>
    <row r="8">
      <c r="A8" t="inlineStr">
        <is>
          <t>근육</t>
        </is>
      </c>
      <c r="B8" t="inlineStr">
        <is>
          <t>네모엎침근 (pronator quadratus)</t>
        </is>
      </c>
      <c r="C8" t="n">
        <v>38453</v>
      </c>
      <c r="D8" t="inlineStr">
        <is>
          <t>Pronator quadratus</t>
        </is>
      </c>
      <c r="E8" t="inlineStr">
        <is>
          <t>exact</t>
        </is>
      </c>
      <c r="F8" t="inlineStr">
        <is>
          <t>김재효</t>
        </is>
      </c>
      <c r="G8" t="inlineStr">
        <is>
          <t>FMA:44835 Nerve to pronator quadratus</t>
        </is>
      </c>
      <c r="H8" t="inlineStr">
        <is>
          <t>Anterior interosseous nerve → Peripheral segment of median nerve</t>
        </is>
      </c>
      <c r="I8" t="inlineStr">
        <is>
          <t>C8(primary/segmental), C7(secondary/segmental)</t>
        </is>
      </c>
      <c r="J8" t="inlineStr">
        <is>
          <t>이 높이보다 몸쪽; FMA 구획 오기</t>
        </is>
      </c>
    </row>
    <row r="9">
      <c r="A9" t="inlineStr">
        <is>
          <t>근육</t>
        </is>
      </c>
      <c r="B9" t="inlineStr">
        <is>
          <t>원엎침근 (pronator teres)</t>
        </is>
      </c>
      <c r="C9" t="n">
        <v>38450</v>
      </c>
      <c r="D9" t="inlineStr">
        <is>
          <t>Pronator teres</t>
        </is>
      </c>
      <c r="E9" t="inlineStr">
        <is>
          <t>exact</t>
        </is>
      </c>
      <c r="F9" t="inlineStr">
        <is>
          <t>김재효</t>
        </is>
      </c>
      <c r="G9" t="inlineStr">
        <is>
          <t>FMA:44823 Nerve to pronator teres</t>
        </is>
      </c>
      <c r="H9" t="inlineStr">
        <is>
          <t>Peripheral segment of median nerve</t>
        </is>
      </c>
      <c r="I9" t="inlineStr">
        <is>
          <t>C7(primary/segmental), C6(secondary/segmental)</t>
        </is>
      </c>
      <c r="J9" t="inlineStr">
        <is>
          <t>근복은 아래팔 몸쪽(높이 밖)</t>
        </is>
      </c>
    </row>
    <row r="10">
      <c r="A10" t="inlineStr">
        <is>
          <t>근육</t>
        </is>
      </c>
      <c r="B10" t="inlineStr">
        <is>
          <t>위팔노근의 힘줄 (tendon of the brachioradialis)</t>
        </is>
      </c>
      <c r="C10" t="n">
        <v>40689</v>
      </c>
      <c r="D10" t="inlineStr">
        <is>
          <t>Tendon of brachioradialis</t>
        </is>
      </c>
      <c r="E10" t="inlineStr">
        <is>
          <t>exact</t>
        </is>
      </c>
      <c r="F10" t="inlineStr">
        <is>
          <t>김재효</t>
        </is>
      </c>
      <c r="I10" t="inlineStr">
        <is>
          <t>FMA 미기재</t>
        </is>
      </c>
    </row>
    <row r="11">
      <c r="A11" t="inlineStr">
        <is>
          <t>근육</t>
        </is>
      </c>
      <c r="B11" t="inlineStr">
        <is>
          <t>노쪽손목굽힘근의 힘줄 (tendon of the flexor carpi radialis)</t>
        </is>
      </c>
      <c r="C11" t="n">
        <v>38582</v>
      </c>
      <c r="D11" t="inlineStr">
        <is>
          <t>Tendon of flexor carpi radialis</t>
        </is>
      </c>
      <c r="E11" t="inlineStr">
        <is>
          <t>exact</t>
        </is>
      </c>
      <c r="F11" t="inlineStr">
        <is>
          <t>김재효</t>
        </is>
      </c>
      <c r="I11" t="inlineStr">
        <is>
          <t>FMA 미기재</t>
        </is>
      </c>
    </row>
    <row r="12">
      <c r="A12" t="inlineStr">
        <is>
          <t>근육</t>
        </is>
      </c>
      <c r="B12" t="inlineStr">
        <is>
          <t>긴엄지굽힘근의 힘줄 (tendon of the flexor pollicis longus)</t>
        </is>
      </c>
      <c r="C12" t="n">
        <v>38673</v>
      </c>
      <c r="D12" t="inlineStr">
        <is>
          <t>Tendon of flexor pollicis longus</t>
        </is>
      </c>
      <c r="E12" t="inlineStr">
        <is>
          <t>exact</t>
        </is>
      </c>
      <c r="F12" t="inlineStr">
        <is>
          <t>김재효</t>
        </is>
      </c>
      <c r="I12" t="inlineStr">
        <is>
          <t>FMA 미기재</t>
        </is>
      </c>
    </row>
    <row r="13">
      <c r="A13" t="inlineStr">
        <is>
          <t>근육</t>
        </is>
      </c>
      <c r="B13" t="inlineStr">
        <is>
          <t>손목굽힘근지지띠 (palmar carpal ligament)</t>
        </is>
      </c>
      <c r="E13" t="inlineStr">
        <is>
          <t>none</t>
        </is>
      </c>
      <c r="F13" t="inlineStr">
        <is>
          <t>김재효</t>
        </is>
      </c>
      <c r="I13" t="inlineStr">
        <is>
          <t>FMA 미등재</t>
        </is>
      </c>
    </row>
    <row r="14">
      <c r="A14" t="inlineStr">
        <is>
          <t>신경</t>
        </is>
      </c>
      <c r="B14" t="inlineStr">
        <is>
          <t>가쪽아래팔피부신경 (lateral antebrachial cutaneous nerve)</t>
        </is>
      </c>
      <c r="C14" t="n">
        <v>39080</v>
      </c>
      <c r="D14" t="inlineStr">
        <is>
          <t>Lateral cutaneous nerve of forearm</t>
        </is>
      </c>
      <c r="E14" t="inlineStr">
        <is>
          <t>exact</t>
        </is>
      </c>
      <c r="F14" t="inlineStr">
        <is>
          <t>공통교재·김재효</t>
        </is>
      </c>
      <c r="H14" t="inlineStr">
        <is>
          <t>FMA:288511 Peripheral segment of musculocutaneous nerve</t>
        </is>
      </c>
      <c r="I14" t="inlineStr">
        <is>
          <t>FMA 미기재</t>
        </is>
      </c>
    </row>
    <row r="15">
      <c r="A15" t="inlineStr">
        <is>
          <t>신경</t>
        </is>
      </c>
      <c r="B15" t="inlineStr">
        <is>
          <t>노신경의 얕은가지 (superficial branch of radial nerve); 노신경의 얕은가지 (superficial branch of the radial nerve)</t>
        </is>
      </c>
      <c r="C15" t="n">
        <v>292885</v>
      </c>
      <c r="D15" t="inlineStr">
        <is>
          <t>Superficial branch of radial nerve</t>
        </is>
      </c>
      <c r="E15" t="inlineStr">
        <is>
          <t>exact</t>
        </is>
      </c>
      <c r="F15" t="inlineStr">
        <is>
          <t>공통교재·김재효</t>
        </is>
      </c>
      <c r="H15" t="inlineStr">
        <is>
          <t>FMA:37069 Radial nerve</t>
        </is>
      </c>
      <c r="I15" t="inlineStr">
        <is>
          <t>FMA 미기재</t>
        </is>
      </c>
    </row>
    <row r="16">
      <c r="A16" t="inlineStr">
        <is>
          <t>혈관</t>
        </is>
      </c>
      <c r="B16" t="inlineStr">
        <is>
          <t>덧노쪽피부정맥 (accessory cephalic vein)</t>
        </is>
      </c>
      <c r="C16" t="n">
        <v>22970</v>
      </c>
      <c r="D16" t="inlineStr">
        <is>
          <t>Accessory cephalic vein</t>
        </is>
      </c>
      <c r="E16" t="inlineStr">
        <is>
          <t>exact</t>
        </is>
      </c>
      <c r="F16" t="inlineStr">
        <is>
          <t>김재효</t>
        </is>
      </c>
      <c r="H16" t="inlineStr">
        <is>
          <t>FMA:13324 Cephalic vein → FMA:4725 Subclavian vein → FMA:4723 Brachiocephalic vein</t>
        </is>
      </c>
      <c r="I16" t="inlineStr">
        <is>
          <t>FMA 미기재</t>
        </is>
      </c>
    </row>
    <row r="17">
      <c r="A17" t="inlineStr">
        <is>
          <t>혈관</t>
        </is>
      </c>
      <c r="B17" t="inlineStr">
        <is>
          <t>노쪽피부정맥 (cephalic vein)</t>
        </is>
      </c>
      <c r="C17" t="n">
        <v>13324</v>
      </c>
      <c r="D17" t="inlineStr">
        <is>
          <t>Cephalic vein</t>
        </is>
      </c>
      <c r="E17" t="inlineStr">
        <is>
          <t>exact</t>
        </is>
      </c>
      <c r="F17" t="inlineStr">
        <is>
          <t>공통교재·김재효</t>
        </is>
      </c>
      <c r="H17" t="inlineStr">
        <is>
          <t>FMA:4725 Subclavian vein → FMA:4723 Brachiocephalic vein</t>
        </is>
      </c>
      <c r="I17" t="inlineStr">
        <is>
          <t>FMA 미기재</t>
        </is>
      </c>
    </row>
    <row r="18">
      <c r="A18" t="inlineStr">
        <is>
          <t>혈관</t>
        </is>
      </c>
      <c r="B18" t="inlineStr">
        <is>
          <t>노동ㆍ정맥 (radial artery and vein)</t>
        </is>
      </c>
      <c r="C18" t="n">
        <v>22730</v>
      </c>
      <c r="D18" t="inlineStr">
        <is>
          <t>Radial artery</t>
        </is>
      </c>
      <c r="E18" t="inlineStr">
        <is>
          <t>exact</t>
        </is>
      </c>
      <c r="F18" t="inlineStr">
        <is>
          <t>공통교재·김재효</t>
        </is>
      </c>
      <c r="H18" t="inlineStr">
        <is>
          <t>FMA:3951 Subclavian artery</t>
        </is>
      </c>
      <c r="I18" t="inlineStr">
        <is>
          <t>FMA 미기재</t>
        </is>
      </c>
      <c r="J18" t="inlineStr">
        <is>
          <t>자침점 동층 — SI 근거</t>
        </is>
      </c>
    </row>
    <row r="19">
      <c r="A19" t="inlineStr">
        <is>
          <t>혈관</t>
        </is>
      </c>
      <c r="B19" t="inlineStr">
        <is>
          <t>노동ㆍ정맥 (radial artery and vein)</t>
        </is>
      </c>
      <c r="C19" t="n">
        <v>22947</v>
      </c>
      <c r="D19" t="inlineStr">
        <is>
          <t>Radial vein</t>
        </is>
      </c>
      <c r="E19" t="inlineStr">
        <is>
          <t>exact</t>
        </is>
      </c>
      <c r="F19" t="inlineStr">
        <is>
          <t>공통교재·김재효</t>
        </is>
      </c>
      <c r="H19" t="inlineStr">
        <is>
          <t>FMA:22934 Brachial vein → FMA:13329 Axillary vein → FMA:4725 Subclavian vein → FMA:4723 Brachiocephalic vein</t>
        </is>
      </c>
      <c r="I19" t="inlineStr">
        <is>
          <t>FMA 미기재</t>
        </is>
      </c>
    </row>
    <row r="21">
      <c r="A21" t="inlineStr">
        <is>
          <t>분절 합집합</t>
        </is>
      </c>
      <c r="B21" t="inlineStr">
        <is>
          <t>C5, C6, C7, C8, T1</t>
        </is>
      </c>
    </row>
    <row r="22">
      <c r="A22" t="inlineStr">
        <is>
          <t>교재 비교</t>
        </is>
      </c>
      <c r="B22" t="inlineStr">
        <is>
          <t>공통 6 · 공통교재 단독 2 · 김재효 단독 9</t>
        </is>
      </c>
    </row>
    <row r="23">
      <c r="A23" t="inlineStr">
        <is>
          <t>출처</t>
        </is>
      </c>
      <c r="B23" t="inlineStr">
        <is>
          <t>FMA 5.1.0, fma_query.py profile LU09 (2026-10-23). B1 보조(등록부 미등재)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일자</t>
        </is>
      </c>
      <c r="B1" t="inlineStr">
        <is>
          <t>위치</t>
        </is>
      </c>
      <c r="C1" t="inlineStr">
        <is>
          <t>원래 내용</t>
        </is>
      </c>
      <c r="D1" t="inlineStr">
        <is>
          <t>바꾼 내용</t>
        </is>
      </c>
      <c r="E1" t="inlineStr">
        <is>
          <t>근거</t>
        </is>
      </c>
    </row>
    <row r="2">
      <c r="A2" t="inlineStr">
        <is>
          <t>2026-10-23</t>
        </is>
      </c>
      <c r="B2" t="inlineStr">
        <is>
          <t>전체</t>
        </is>
      </c>
      <c r="C2" t="inlineStr">
        <is>
          <t>템플릿 초안(단일 채점 79.0 B, 범용 Layer mm, 무관 논문 9편)</t>
        </is>
      </c>
      <c r="D2" t="inlineStr">
        <is>
          <t>Tier 3 재작성: 원전 행 인용, 이중 채점 68.75±0 C, SI 50, B-Check 7/12 미부합, FMA·그림 4-1·8-1</t>
        </is>
      </c>
      <c r="E2" t="inlineStr">
        <is>
          <t>보고서 개정 이력 표</t>
        </is>
      </c>
    </row>
    <row r="3">
      <c r="A3" s="4" t="inlineStr">
        <is>
          <t>2026-10-25</t>
        </is>
      </c>
      <c r="B3" s="4" t="inlineStr">
        <is>
          <t>머리말·1·2·3·4·7·9·10절, xlsx</t>
        </is>
      </c>
      <c r="C3" s="4" t="inlineStr">
        <is>
          <t>3대 원전, 단일 Target T1(Δ ≤ 15mm), ④ 通考 교감</t>
        </is>
      </c>
      <c r="D3" s="4" t="inlineStr">
        <is>
          <t>4대 원전(经络通鉴 6행·Rank 4 교감), 证治通鉴 한글 번역본 기술, 자입 기준점(FCR–APL 간극), Tri-Target(10mm 기준) Target 1≡2≡3 단일, 참고 변이 ③ 경계값 기록, ④ 재확인 75 불변, ARI 불변(68.75 ± 0 C, SI 50); 시트 문헌스크리닝_4대원전_경락통감·분기추론_TriTarget 신설</t>
        </is>
      </c>
      <c r="E3" s="4" t="inlineStr">
        <is>
          <t>프레임워크 2.7.7; 분기 기준 Δ &gt; 10mm(2026-10-25 개정)</t>
        </is>
      </c>
    </row>
    <row r="4">
      <c r="A4" s="4" t="inlineStr">
        <is>
          <t>2026-10-25</t>
        </is>
      </c>
      <c r="B4" s="4" t="inlineStr">
        <is>
          <t>7·10절, xlsx 분기추론_TriTarget</t>
        </is>
      </c>
      <c r="C4" s="4" t="inlineStr">
        <is>
          <t>참고 변이 ③ "실측 &gt;10mm 또는 채택 시 단일 채점(예비) 필요", 문자 해석 변이 제외 사유 미명시</t>
        </is>
      </c>
      <c r="D4" s="4" t="inlineStr">
        <is>
          <t>두 변이 모두 Rank 5 Target 제외 규칙을 제외 사유로 명시, ③은 Δ와 무관하게 분기·채점 없음; ARI 불변(68.75 ± 0 C, SI 50)</t>
        </is>
      </c>
      <c r="E4" s="4" t="inlineStr">
        <is>
          <t>프레임워크 Rank 5 Target 제외 규칙(2026-10-25)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2026-10-23T10:02:30Z</dcterms:created>
  <dcterms:modified xmlns:dcterms="http://purl.org/dc/terms/" xmlns:xsi="http://www.w3.org/2001/XMLSchema-instance" xsi:type="dcterms:W3CDTF">2026-10-25T12:52:31Z</dcterms:modified>
</cp:coreProperties>
</file>