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_문헌스크리닝DB" sheetId="1" state="visible" r:id="rId1"/>
    <sheet xmlns:r="http://schemas.openxmlformats.org/officeDocument/2006/relationships" name="Sheet2_자침깊이DB" sheetId="2" state="visible" r:id="rId2"/>
    <sheet xmlns:r="http://schemas.openxmlformats.org/officeDocument/2006/relationships" name="Sheet3_노이즈여과_3D좌표" sheetId="3" state="visible" r:id="rId3"/>
    <sheet xmlns:r="http://schemas.openxmlformats.org/officeDocument/2006/relationships" name="Sheet4_자침통계_삼각법" sheetId="4" state="visible" r:id="rId4"/>
    <sheet xmlns:r="http://schemas.openxmlformats.org/officeDocument/2006/relationships" name="Sheet5_해부학적실체" sheetId="5" state="visible" r:id="rId5"/>
    <sheet xmlns:r="http://schemas.openxmlformats.org/officeDocument/2006/relationships" name="구판_Sheet6_ARI평가" sheetId="6" state="visible" r:id="rId6"/>
    <sheet xmlns:r="http://schemas.openxmlformats.org/officeDocument/2006/relationships" name="ARI_v3.0" sheetId="7" state="visible" r:id="rId7"/>
    <sheet xmlns:r="http://schemas.openxmlformats.org/officeDocument/2006/relationships" name="B-Check" sheetId="8" state="visible" r:id="rId8"/>
    <sheet xmlns:r="http://schemas.openxmlformats.org/officeDocument/2006/relationships" name="LayerA_papers" sheetId="9" state="visible" r:id="rId9"/>
    <sheet xmlns:r="http://schemas.openxmlformats.org/officeDocument/2006/relationships" name="외부검색로그" sheetId="10" state="visible" r:id="rId10"/>
    <sheet xmlns:r="http://schemas.openxmlformats.org/officeDocument/2006/relationships" name="개정이력" sheetId="11" state="visible" r:id="rId11"/>
    <sheet xmlns:r="http://schemas.openxmlformats.org/officeDocument/2006/relationships" name="FMA_해부실체" sheetId="12" state="visible" r:id="rId12"/>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맑은 고딕"/>
      <b val="1"/>
      <color rgb="003FB950"/>
      <sz val="13"/>
    </font>
    <font>
      <name val="맑은 고딕"/>
      <b val="1"/>
      <color rgb="003FB950"/>
      <sz val="10"/>
    </font>
    <font>
      <name val="맑은 고딕"/>
      <b val="1"/>
      <color rgb="00F0B429"/>
      <sz val="10"/>
    </font>
    <font>
      <name val="맑은 고딕"/>
      <b val="1"/>
      <color rgb="00C9D1D9"/>
      <sz val="10"/>
    </font>
    <font>
      <name val="맑은 고딕"/>
      <b val="1"/>
      <color rgb="00E3B341"/>
      <sz val="10"/>
    </font>
    <font>
      <name val="맑은 고딕"/>
      <color rgb="00C9D1D9"/>
      <sz val="10"/>
    </font>
    <font>
      <name val="맑은 고딕"/>
      <color rgb="003FB950"/>
      <sz val="10"/>
    </font>
    <font>
      <name val="맑은 고딕"/>
      <color rgb="00F0B429"/>
      <sz val="9"/>
    </font>
    <font>
      <name val="맑은 고딕"/>
      <b val="1"/>
      <color rgb="0058A6FF"/>
      <sz val="11"/>
    </font>
    <font>
      <name val="맑은 고딕"/>
      <color rgb="0058A6FF"/>
      <sz val="10"/>
    </font>
    <font>
      <name val="맑은 고딕"/>
      <color rgb="00BC8CFF"/>
      <sz val="10"/>
    </font>
    <font>
      <name val="맑은 고딕"/>
      <color rgb="00E3B341"/>
      <sz val="10"/>
    </font>
    <font>
      <name val="맑은 고딕"/>
      <color rgb="00FF7B72"/>
      <sz val="10"/>
    </font>
    <font>
      <name val="맑은 고딕"/>
      <b val="1"/>
      <color rgb="00F0B429"/>
      <sz val="13"/>
    </font>
    <font>
      <name val="맑은 고딕"/>
      <b val="1"/>
      <color rgb="003FB950"/>
      <sz val="11"/>
    </font>
    <font>
      <name val="맑은 고딕"/>
      <color rgb="00F0B429"/>
      <sz val="10"/>
    </font>
    <font>
      <name val="맑은 고딕"/>
      <b val="1"/>
      <color rgb="00F78166"/>
      <sz val="13"/>
    </font>
    <font>
      <name val="맑은 고딕"/>
      <b val="1"/>
      <color rgb="00FF7B72"/>
      <sz val="11"/>
    </font>
    <font>
      <name val="맑은 고딕"/>
      <b val="1"/>
      <color rgb="0058A6FF"/>
      <sz val="10"/>
    </font>
    <font>
      <name val="맑은 고딕"/>
      <color rgb="0058A6FF"/>
      <sz val="9"/>
    </font>
    <font>
      <name val="맑은 고딕"/>
      <b val="1"/>
      <color rgb="00E3B341"/>
      <sz val="13"/>
    </font>
    <font>
      <name val="맑은 고딕"/>
      <b val="1"/>
      <color rgb="00BC8CFF"/>
      <sz val="11"/>
    </font>
    <font>
      <name val="맑은 고딕"/>
      <color rgb="008B949E"/>
      <sz val="10"/>
    </font>
    <font>
      <name val="맑은 고딕"/>
      <b val="1"/>
      <color rgb="00F0B429"/>
      <sz val="11"/>
    </font>
    <font>
      <name val="맑은 고딕"/>
      <color rgb="00C9D1D9"/>
      <sz val="9"/>
    </font>
    <font>
      <name val="맑은 고딕"/>
      <b val="1"/>
      <color rgb="00BC8CFF"/>
      <sz val="10"/>
    </font>
    <font>
      <name val="맑은 고딕"/>
      <b val="1"/>
      <color rgb="003FB950"/>
      <sz val="12"/>
    </font>
    <font>
      <b val="1"/>
    </font>
  </fonts>
  <fills count="11">
    <fill>
      <patternFill/>
    </fill>
    <fill>
      <patternFill patternType="gray125"/>
    </fill>
    <fill>
      <patternFill patternType="solid">
        <fgColor rgb="000D1117"/>
      </patternFill>
    </fill>
    <fill>
      <patternFill patternType="solid">
        <fgColor rgb="00161B22"/>
      </patternFill>
    </fill>
    <fill>
      <patternFill patternType="solid">
        <fgColor rgb="001A2A0D"/>
      </patternFill>
    </fill>
    <fill>
      <patternFill patternType="solid">
        <fgColor rgb="001C2230"/>
      </patternFill>
    </fill>
    <fill>
      <patternFill patternType="solid">
        <fgColor rgb="000D2010"/>
      </patternFill>
    </fill>
    <fill>
      <patternFill patternType="solid">
        <fgColor rgb="00200D0D"/>
      </patternFill>
    </fill>
    <fill>
      <patternFill patternType="solid">
        <fgColor rgb="000D1A2A"/>
      </patternFill>
    </fill>
    <fill>
      <patternFill patternType="solid">
        <fgColor rgb="00102010"/>
      </patternFill>
    </fill>
    <fill>
      <patternFill patternType="solid">
        <fgColor rgb="00166534"/>
      </patternFill>
    </fill>
  </fills>
  <borders count="6">
    <border>
      <left/>
      <right/>
      <top/>
      <bottom/>
      <diagonal/>
    </border>
    <border>
      <left style="thin">
        <color rgb="0030363D"/>
      </left>
      <right style="thin">
        <color rgb="0030363D"/>
      </right>
      <top style="thin">
        <color rgb="0030363D"/>
      </top>
      <bottom style="thin">
        <color rgb="0030363D"/>
      </bottom>
    </border>
    <border>
      <left/>
      <right/>
      <top style="thin">
        <color rgb="0030363D"/>
      </top>
      <bottom/>
      <diagonal/>
    </border>
    <border>
      <left/>
      <right style="thin">
        <color rgb="0030363D"/>
      </right>
      <top style="thin">
        <color rgb="0030363D"/>
      </top>
      <bottom/>
      <diagonal/>
    </border>
    <border>
      <left/>
      <right/>
      <top style="thin">
        <color rgb="0030363D"/>
      </top>
      <bottom style="thin">
        <color rgb="0030363D"/>
      </bottom>
      <diagonal/>
    </border>
    <border>
      <left/>
      <right style="thin">
        <color rgb="0030363D"/>
      </right>
      <top style="thin">
        <color rgb="0030363D"/>
      </top>
      <bottom style="thin">
        <color rgb="0030363D"/>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0" fillId="2"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5" fillId="3" borderId="1" applyAlignment="1" pivotButton="0" quotePrefix="0" xfId="0">
      <alignment horizontal="left" vertical="center" wrapText="1"/>
    </xf>
    <xf numFmtId="0" fontId="3" fillId="4" borderId="1" applyAlignment="1" pivotButton="0" quotePrefix="0" xfId="0">
      <alignment horizontal="left" vertical="center" wrapText="1"/>
    </xf>
    <xf numFmtId="0" fontId="6" fillId="4" borderId="1" applyAlignment="1" pivotButton="0" quotePrefix="0" xfId="0">
      <alignment horizontal="left" vertical="center" wrapText="1"/>
    </xf>
    <xf numFmtId="0" fontId="7" fillId="4" borderId="1" applyAlignment="1" pivotButton="0" quotePrefix="0" xfId="0">
      <alignment horizontal="left" vertical="center" wrapText="1"/>
    </xf>
    <xf numFmtId="0" fontId="6" fillId="5" borderId="1" applyAlignment="1" pivotButton="0" quotePrefix="0" xfId="0">
      <alignment horizontal="left" vertical="center" wrapText="1"/>
    </xf>
    <xf numFmtId="0" fontId="7" fillId="5" borderId="1" applyAlignment="1" pivotButton="0" quotePrefix="0" xfId="0">
      <alignment horizontal="left" vertical="center" wrapText="1"/>
    </xf>
    <xf numFmtId="0" fontId="6" fillId="3" borderId="1" applyAlignment="1" pivotButton="0" quotePrefix="0" xfId="0">
      <alignment horizontal="left" vertical="center" wrapText="1"/>
    </xf>
    <xf numFmtId="0" fontId="7" fillId="3" borderId="1" applyAlignment="1" pivotButton="0" quotePrefix="0" xfId="0">
      <alignment horizontal="left" vertical="center" wrapText="1"/>
    </xf>
    <xf numFmtId="0" fontId="8" fillId="4" borderId="1" applyAlignment="1" pivotButton="0" quotePrefix="0" xfId="0">
      <alignment horizontal="left" vertical="center" wrapText="1"/>
    </xf>
    <xf numFmtId="0" fontId="9" fillId="3" borderId="1" applyAlignment="1" pivotButton="0" quotePrefix="0" xfId="0">
      <alignment horizontal="center" vertical="center"/>
    </xf>
    <xf numFmtId="0" fontId="10" fillId="3" borderId="1" applyAlignment="1" pivotButton="0" quotePrefix="0" xfId="0">
      <alignment horizontal="left" vertical="center" wrapText="1"/>
    </xf>
    <xf numFmtId="0" fontId="11" fillId="3" borderId="1" applyAlignment="1" pivotButton="0" quotePrefix="0" xfId="0">
      <alignment horizontal="left" vertical="center" wrapText="1"/>
    </xf>
    <xf numFmtId="0" fontId="10" fillId="6" borderId="1" applyAlignment="1" pivotButton="0" quotePrefix="0" xfId="0">
      <alignment horizontal="left" vertical="center" wrapText="1"/>
    </xf>
    <xf numFmtId="0" fontId="6" fillId="6" borderId="1" applyAlignment="1" pivotButton="0" quotePrefix="0" xfId="0">
      <alignment horizontal="left" vertical="center" wrapText="1"/>
    </xf>
    <xf numFmtId="0" fontId="11" fillId="6" borderId="1" applyAlignment="1" pivotButton="0" quotePrefix="0" xfId="0">
      <alignment horizontal="left" vertical="center" wrapText="1"/>
    </xf>
    <xf numFmtId="0" fontId="10" fillId="5" borderId="1" applyAlignment="1" pivotButton="0" quotePrefix="0" xfId="0">
      <alignment horizontal="left" vertical="center" wrapText="1"/>
    </xf>
    <xf numFmtId="0" fontId="11" fillId="5" borderId="1" applyAlignment="1" pivotButton="0" quotePrefix="0" xfId="0">
      <alignment horizontal="left" vertical="center" wrapText="1"/>
    </xf>
    <xf numFmtId="0" fontId="12" fillId="3" borderId="1" applyAlignment="1" pivotButton="0" quotePrefix="0" xfId="0">
      <alignment horizontal="left" vertical="center" wrapText="1"/>
    </xf>
    <xf numFmtId="0" fontId="12" fillId="5" borderId="1" applyAlignment="1" pivotButton="0" quotePrefix="0" xfId="0">
      <alignment horizontal="left" vertical="center" wrapText="1"/>
    </xf>
    <xf numFmtId="0" fontId="13" fillId="3" borderId="1" applyAlignment="1" pivotButton="0" quotePrefix="0" xfId="0">
      <alignment horizontal="left" vertical="center" wrapText="1"/>
    </xf>
    <xf numFmtId="0" fontId="14" fillId="2" borderId="1" applyAlignment="1" pivotButton="0" quotePrefix="0" xfId="0">
      <alignment horizontal="center" vertical="center"/>
    </xf>
    <xf numFmtId="0" fontId="3" fillId="6" borderId="1" applyAlignment="1" pivotButton="0" quotePrefix="0" xfId="0">
      <alignment horizontal="left" vertical="center" wrapText="1"/>
    </xf>
    <xf numFmtId="0" fontId="15" fillId="3" borderId="1" applyAlignment="1" pivotButton="0" quotePrefix="0" xfId="0">
      <alignment horizontal="center" vertical="center"/>
    </xf>
    <xf numFmtId="0" fontId="16" fillId="3" borderId="1" applyAlignment="1" pivotButton="0" quotePrefix="0" xfId="0">
      <alignment horizontal="left" vertical="center" wrapText="1"/>
    </xf>
    <xf numFmtId="0" fontId="16" fillId="5" borderId="1" applyAlignment="1" pivotButton="0" quotePrefix="0" xfId="0">
      <alignment horizontal="left" vertical="center" wrapText="1"/>
    </xf>
    <xf numFmtId="0" fontId="2" fillId="6" borderId="1" applyAlignment="1" pivotButton="0" quotePrefix="0" xfId="0">
      <alignment horizontal="center" vertical="center" wrapText="1"/>
    </xf>
    <xf numFmtId="0" fontId="17" fillId="2" borderId="1" applyAlignment="1" pivotButton="0" quotePrefix="0" xfId="0">
      <alignment horizontal="center" vertical="center"/>
    </xf>
    <xf numFmtId="0" fontId="18" fillId="3" borderId="1" applyAlignment="1" pivotButton="0" quotePrefix="0" xfId="0">
      <alignment horizontal="center" vertical="center"/>
    </xf>
    <xf numFmtId="0" fontId="13" fillId="5" borderId="1" applyAlignment="1" pivotButton="0" quotePrefix="0" xfId="0">
      <alignment horizontal="left" vertical="center" wrapText="1"/>
    </xf>
    <xf numFmtId="0" fontId="12" fillId="6" borderId="1" applyAlignment="1" pivotButton="0" quotePrefix="0" xfId="0">
      <alignment horizontal="left" vertical="center" wrapText="1"/>
    </xf>
    <xf numFmtId="0" fontId="7" fillId="6" borderId="1" applyAlignment="1" pivotButton="0" quotePrefix="0" xfId="0">
      <alignment horizontal="left" vertical="center" wrapText="1"/>
    </xf>
    <xf numFmtId="0" fontId="12" fillId="7" borderId="1" applyAlignment="1" pivotButton="0" quotePrefix="0" xfId="0">
      <alignment horizontal="left" vertical="center" wrapText="1"/>
    </xf>
    <xf numFmtId="0" fontId="6" fillId="7" borderId="1" applyAlignment="1" pivotButton="0" quotePrefix="0" xfId="0">
      <alignment horizontal="left" vertical="center" wrapText="1"/>
    </xf>
    <xf numFmtId="0" fontId="13" fillId="7" borderId="1" applyAlignment="1" pivotButton="0" quotePrefix="0" xfId="0">
      <alignment horizontal="left" vertical="center" wrapText="1"/>
    </xf>
    <xf numFmtId="0" fontId="19" fillId="3" borderId="1" applyAlignment="1" pivotButton="0" quotePrefix="0" xfId="0">
      <alignment horizontal="left" vertical="center" wrapText="1"/>
    </xf>
    <xf numFmtId="0" fontId="19" fillId="5" borderId="1" applyAlignment="1" pivotButton="0" quotePrefix="0" xfId="0">
      <alignment horizontal="left" vertical="center" wrapText="1"/>
    </xf>
    <xf numFmtId="0" fontId="20" fillId="8" borderId="1" applyAlignment="1" pivotButton="0" quotePrefix="0" xfId="0">
      <alignment horizontal="left" vertical="center" wrapText="1"/>
    </xf>
    <xf numFmtId="0" fontId="21" fillId="2" borderId="1" applyAlignment="1" pivotButton="0" quotePrefix="0" xfId="0">
      <alignment horizontal="center" vertical="center"/>
    </xf>
    <xf numFmtId="0" fontId="22" fillId="3" borderId="1" applyAlignment="1" pivotButton="0" quotePrefix="0" xfId="0">
      <alignment horizontal="center" vertical="center"/>
    </xf>
    <xf numFmtId="0" fontId="5" fillId="6" borderId="1" applyAlignment="1" pivotButton="0" quotePrefix="0" xfId="0">
      <alignment horizontal="left" vertical="center" wrapText="1"/>
    </xf>
    <xf numFmtId="0" fontId="23" fillId="3" borderId="1" applyAlignment="1" pivotButton="0" quotePrefix="0" xfId="0">
      <alignment horizontal="left" vertical="center" wrapText="1"/>
    </xf>
    <xf numFmtId="0" fontId="23" fillId="5" borderId="1" applyAlignment="1" pivotButton="0" quotePrefix="0" xfId="0">
      <alignment horizontal="left" vertical="center" wrapText="1"/>
    </xf>
    <xf numFmtId="0" fontId="3" fillId="9" borderId="1" applyAlignment="1" pivotButton="0" quotePrefix="0" xfId="0">
      <alignment horizontal="left" vertical="center" wrapText="1"/>
    </xf>
    <xf numFmtId="0" fontId="6" fillId="9" borderId="1" applyAlignment="1" pivotButton="0" quotePrefix="0" xfId="0">
      <alignment horizontal="left" vertical="center" wrapText="1"/>
    </xf>
    <xf numFmtId="0" fontId="4" fillId="9" borderId="1" applyAlignment="1" pivotButton="0" quotePrefix="0" xfId="0">
      <alignment horizontal="left" vertical="center" wrapText="1"/>
    </xf>
    <xf numFmtId="0" fontId="7" fillId="9" borderId="1" applyAlignment="1" pivotButton="0" quotePrefix="0" xfId="0">
      <alignment horizontal="left" vertical="center" wrapText="1"/>
    </xf>
    <xf numFmtId="0" fontId="4" fillId="6" borderId="1" applyAlignment="1" pivotButton="0" quotePrefix="0" xfId="0">
      <alignment horizontal="left" vertical="center" wrapText="1"/>
    </xf>
    <xf numFmtId="0" fontId="24" fillId="3" borderId="1" applyAlignment="1" pivotButton="0" quotePrefix="0" xfId="0">
      <alignment horizontal="center" vertical="center"/>
    </xf>
    <xf numFmtId="0" fontId="2" fillId="6" borderId="1" applyAlignment="1" pivotButton="0" quotePrefix="0" xfId="0">
      <alignment horizontal="left" vertical="center" wrapText="1"/>
    </xf>
    <xf numFmtId="0" fontId="24" fillId="4" borderId="1" applyAlignment="1" pivotButton="0" quotePrefix="0" xfId="0">
      <alignment horizontal="center" vertical="center"/>
    </xf>
    <xf numFmtId="0" fontId="16" fillId="4" borderId="1" applyAlignment="1" pivotButton="0" quotePrefix="0" xfId="0">
      <alignment horizontal="left" vertical="center" wrapText="1"/>
    </xf>
    <xf numFmtId="0" fontId="25" fillId="4" borderId="1" applyAlignment="1" pivotButton="0" quotePrefix="0" xfId="0">
      <alignment horizontal="left" vertical="center" wrapText="1"/>
    </xf>
    <xf numFmtId="0" fontId="26" fillId="3" borderId="1" applyAlignment="1" pivotButton="0" quotePrefix="0" xfId="0">
      <alignment horizontal="center" vertical="center"/>
    </xf>
    <xf numFmtId="0" fontId="15" fillId="10" borderId="1" applyAlignment="1" pivotButton="0" quotePrefix="0" xfId="0">
      <alignment horizontal="center" vertical="center" wrapText="1"/>
    </xf>
    <xf numFmtId="0" fontId="14" fillId="10" borderId="1" applyAlignment="1" pivotButton="0" quotePrefix="0" xfId="0">
      <alignment horizontal="center" vertical="center" wrapText="1"/>
    </xf>
    <xf numFmtId="0" fontId="1" fillId="10" borderId="1" applyAlignment="1" pivotButton="0" quotePrefix="0" xfId="0">
      <alignment horizontal="center" vertical="center" wrapText="1"/>
    </xf>
    <xf numFmtId="0" fontId="27" fillId="6" borderId="1" applyAlignment="1" pivotButton="0" quotePrefix="0" xfId="0">
      <alignment horizontal="center" vertical="center"/>
    </xf>
    <xf numFmtId="0" fontId="0" fillId="0" borderId="4" pivotButton="0" quotePrefix="0" xfId="0"/>
    <xf numFmtId="0" fontId="0" fillId="0" borderId="5" pivotButton="0" quotePrefix="0" xfId="0"/>
    <xf numFmtId="0" fontId="2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pane ySplit="3" topLeftCell="A4" activePane="bottomLeft" state="frozen"/>
      <selection pane="bottomLeft" activeCell="A1" sqref="A1"/>
    </sheetView>
  </sheetViews>
  <sheetFormatPr baseColWidth="8" defaultRowHeight="15"/>
  <cols>
    <col width="12" customWidth="1" min="1" max="1"/>
    <col width="22" customWidth="1" min="2" max="2"/>
    <col width="12" customWidth="1" min="3" max="3"/>
    <col width="36" customWidth="1" min="4" max="4"/>
    <col width="18" customWidth="1" min="5" max="5"/>
    <col width="18" customWidth="1" min="6" max="6"/>
    <col width="20" customWidth="1" min="7" max="7"/>
  </cols>
  <sheetData>
    <row r="1" ht="30" customHeight="1">
      <c r="A1" s="1" t="inlineStr">
        <is>
          <t>【Sheet 1】 GB39 (懸鐘/絶骨, 현종) — 문헌 스크리닝 DB &amp; KJH 이명 대조</t>
        </is>
      </c>
      <c r="B1" s="63" t="n"/>
      <c r="C1" s="63" t="n"/>
      <c r="D1" s="63" t="n"/>
      <c r="E1" s="63" t="n"/>
      <c r="F1" s="63" t="n"/>
      <c r="G1" s="64" t="n"/>
      <c r="H1" s="2" t="n"/>
      <c r="I1" s="2" t="n"/>
      <c r="J1" s="2" t="n"/>
      <c r="K1" s="2" t="n"/>
      <c r="L1" s="2" t="n"/>
    </row>
    <row r="2">
      <c r="A2" s="2" t="n"/>
      <c r="B2" s="2" t="n"/>
      <c r="C2" s="2" t="n"/>
      <c r="D2" s="2" t="n"/>
      <c r="E2" s="2" t="n"/>
      <c r="F2" s="2" t="n"/>
      <c r="G2" s="2" t="n"/>
      <c r="H2" s="2" t="n"/>
      <c r="I2" s="2" t="n"/>
      <c r="J2" s="2" t="n"/>
      <c r="K2" s="2" t="n"/>
      <c r="L2" s="2" t="n"/>
    </row>
    <row r="3">
      <c r="A3" s="3" t="inlineStr">
        <is>
          <t>항목</t>
        </is>
      </c>
      <c r="B3" s="3" t="inlineStr">
        <is>
          <t>내용</t>
        </is>
      </c>
      <c r="C3" s="3" t="inlineStr"/>
      <c r="D3" s="3" t="inlineStr"/>
      <c r="E3" s="3" t="inlineStr"/>
      <c r="F3" s="3" t="inlineStr"/>
      <c r="G3" s="3" t="inlineStr"/>
      <c r="H3" s="2" t="n"/>
      <c r="I3" s="2" t="n"/>
      <c r="J3" s="2" t="n"/>
      <c r="K3" s="2" t="n"/>
      <c r="L3" s="2" t="n"/>
    </row>
    <row r="4">
      <c r="A4" s="4" t="inlineStr">
        <is>
          <t>경혈 부호</t>
        </is>
      </c>
      <c r="B4" s="5" t="inlineStr">
        <is>
          <t>GB39 (足少陽膽經 第39穴)</t>
        </is>
      </c>
      <c r="C4" s="63" t="n"/>
      <c r="D4" s="63" t="n"/>
      <c r="E4" s="63" t="n"/>
      <c r="F4" s="63" t="n"/>
      <c r="G4" s="64" t="n"/>
      <c r="H4" s="2" t="n"/>
      <c r="I4" s="2" t="n"/>
      <c r="J4" s="2" t="n"/>
      <c r="K4" s="2" t="n"/>
      <c r="L4" s="2" t="n"/>
    </row>
    <row r="5">
      <c r="A5" s="4" t="inlineStr">
        <is>
          <t>한국어 명칭</t>
        </is>
      </c>
      <c r="B5" s="5" t="inlineStr">
        <is>
          <t>현종 (懸鐘/縣鍾)</t>
        </is>
      </c>
      <c r="C5" s="63" t="n"/>
      <c r="D5" s="63" t="n"/>
      <c r="E5" s="63" t="n"/>
      <c r="F5" s="63" t="n"/>
      <c r="G5" s="64" t="n"/>
      <c r="H5" s="2" t="n"/>
      <c r="I5" s="2" t="n"/>
      <c r="J5" s="2" t="n"/>
      <c r="K5" s="2" t="n"/>
      <c r="L5" s="2" t="n"/>
    </row>
    <row r="6">
      <c r="A6" s="4" t="inlineStr">
        <is>
          <t>경혈 성질</t>
        </is>
      </c>
      <c r="B6" s="6" t="inlineStr">
        <is>
          <t>팔회혈(八會穴) — 髓會 (수회, 골수의 회혈)</t>
        </is>
      </c>
      <c r="C6" s="63" t="n"/>
      <c r="D6" s="63" t="n"/>
      <c r="E6" s="63" t="n"/>
      <c r="F6" s="63" t="n"/>
      <c r="G6" s="64" t="n"/>
      <c r="H6" s="2" t="n"/>
      <c r="I6" s="2" t="n"/>
      <c r="J6" s="2" t="n"/>
      <c r="K6" s="2" t="n"/>
      <c r="L6" s="2" t="n"/>
    </row>
    <row r="7">
      <c r="A7" s="4" t="inlineStr">
        <is>
          <t>WHO 정위</t>
        </is>
      </c>
      <c r="B7" s="5" t="inlineStr">
        <is>
          <t>외과첨(外踝尖) 상방 3촌, 비골(腓骨) 전연(前緣)</t>
        </is>
      </c>
      <c r="C7" s="63" t="n"/>
      <c r="D7" s="63" t="n"/>
      <c r="E7" s="63" t="n"/>
      <c r="F7" s="63" t="n"/>
      <c r="G7" s="64" t="n"/>
      <c r="H7" s="2" t="n"/>
      <c r="I7" s="2" t="n"/>
      <c r="J7" s="2" t="n"/>
      <c r="K7" s="2" t="n"/>
      <c r="L7" s="2" t="n"/>
    </row>
    <row r="8">
      <c r="A8" s="4" t="inlineStr">
        <is>
          <t>고전 정위</t>
        </is>
      </c>
      <c r="B8" s="5" t="inlineStr">
        <is>
          <t>《甲乙經》: '在足外踝上三寸動脈中' — '動脈中' = 비골동맥 관통지</t>
        </is>
      </c>
      <c r="C8" s="63" t="n"/>
      <c r="D8" s="63" t="n"/>
      <c r="E8" s="63" t="n"/>
      <c r="F8" s="63" t="n"/>
      <c r="G8" s="64" t="n"/>
      <c r="H8" s="2" t="n"/>
      <c r="I8" s="2" t="n"/>
      <c r="J8" s="2" t="n"/>
      <c r="K8" s="2" t="n"/>
      <c r="L8" s="2" t="n"/>
    </row>
    <row r="9">
      <c r="A9" s="4" t="inlineStr">
        <is>
          <t>자침법</t>
        </is>
      </c>
      <c r="B9" s="5" t="inlineStr">
        <is>
          <t>직자(直刺) 90° — 6푼(13.8mm) 고전 표준; 5–8푼 현대 범위</t>
        </is>
      </c>
      <c r="C9" s="63" t="n"/>
      <c r="D9" s="63" t="n"/>
      <c r="E9" s="63" t="n"/>
      <c r="F9" s="63" t="n"/>
      <c r="G9" s="64" t="n"/>
      <c r="H9" s="2" t="n"/>
      <c r="I9" s="2" t="n"/>
      <c r="J9" s="2" t="n"/>
      <c r="K9" s="2" t="n"/>
      <c r="L9" s="2" t="n"/>
    </row>
    <row r="10">
      <c r="A10" s="4" t="inlineStr">
        <is>
          <t>핵심 이명</t>
        </is>
      </c>
      <c r="B10" s="4" t="inlineStr">
        <is>
          <t>★ 絶骨(절골) — 비골(腓骨)의 고대 이칭, 해부 직지 이명 | 髓會(수회)</t>
        </is>
      </c>
      <c r="C10" s="63" t="n"/>
      <c r="D10" s="63" t="n"/>
      <c r="E10" s="63" t="n"/>
      <c r="F10" s="63" t="n"/>
      <c r="G10" s="64" t="n"/>
      <c r="H10" s="2" t="n"/>
      <c r="I10" s="2" t="n"/>
      <c r="J10" s="2" t="n"/>
      <c r="K10" s="2" t="n"/>
      <c r="L10" s="2" t="n"/>
    </row>
    <row r="11">
      <c r="A11" s="2" t="n"/>
      <c r="B11" s="2" t="n"/>
      <c r="C11" s="2" t="n"/>
      <c r="D11" s="2" t="n"/>
      <c r="E11" s="2" t="n"/>
      <c r="F11" s="2" t="n"/>
      <c r="G11" s="2" t="n"/>
      <c r="H11" s="2" t="n"/>
      <c r="I11" s="2" t="n"/>
      <c r="J11" s="2" t="n"/>
      <c r="K11" s="2" t="n"/>
      <c r="L11" s="2" t="n"/>
    </row>
    <row r="12">
      <c r="A12" s="3" t="inlineStr">
        <is>
          <t>이명(異名)</t>
        </is>
      </c>
      <c r="B12" s="3" t="inlineStr">
        <is>
          <t>한국어 독음</t>
        </is>
      </c>
      <c r="C12" s="3" t="inlineStr">
        <is>
          <t>출전 문헌</t>
        </is>
      </c>
      <c r="D12" s="3" t="inlineStr">
        <is>
          <t>이명 유형</t>
        </is>
      </c>
      <c r="E12" s="3" t="inlineStr">
        <is>
          <t>오기·혼용 위험</t>
        </is>
      </c>
      <c r="F12" s="3" t="inlineStr">
        <is>
          <t>판정</t>
        </is>
      </c>
      <c r="G12" s="3" t="inlineStr">
        <is>
          <t>비고</t>
        </is>
      </c>
      <c r="H12" s="2" t="n"/>
      <c r="I12" s="2" t="n"/>
      <c r="J12" s="2" t="n"/>
      <c r="K12" s="2" t="n"/>
      <c r="L12" s="2" t="n"/>
    </row>
    <row r="13">
      <c r="A13" s="7" t="inlineStr">
        <is>
          <t>絶骨</t>
        </is>
      </c>
      <c r="B13" s="8" t="inlineStr">
        <is>
          <t>절골</t>
        </is>
      </c>
      <c r="C13" s="8" t="inlineStr">
        <is>
          <t>《甲乙經》·《千金方》·《外臺》</t>
        </is>
      </c>
      <c r="D13" s="8" t="inlineStr">
        <is>
          <t>가장 중요한 고전 별칭 — 비골(腓骨)의 고대 이칭</t>
        </is>
      </c>
      <c r="E13" s="8" t="inlineStr">
        <is>
          <t>低</t>
        </is>
      </c>
      <c r="F13" s="9" t="inlineStr">
        <is>
          <t>✅ 핵심 이명</t>
        </is>
      </c>
      <c r="G13" s="8" t="inlineStr">
        <is>
          <t>이명 자체가 해부 실체 직지 — 분석 핵심 단서</t>
        </is>
      </c>
      <c r="H13" s="2" t="n"/>
      <c r="I13" s="2" t="n"/>
      <c r="J13" s="2" t="n"/>
      <c r="K13" s="2" t="n"/>
      <c r="L13" s="2" t="n"/>
    </row>
    <row r="14">
      <c r="A14" s="10" t="inlineStr">
        <is>
          <t>髓會</t>
        </is>
      </c>
      <c r="B14" s="10" t="inlineStr">
        <is>
          <t>수회</t>
        </is>
      </c>
      <c r="C14" s="10" t="inlineStr">
        <is>
          <t>《難經》45難·《甲乙經》</t>
        </is>
      </c>
      <c r="D14" s="10" t="inlineStr">
        <is>
          <t>기능적 분류 이명 (팔회혈)</t>
        </is>
      </c>
      <c r="E14" s="10" t="inlineStr">
        <is>
          <t>低</t>
        </is>
      </c>
      <c r="F14" s="11" t="inlineStr">
        <is>
          <t>✅ 유지</t>
        </is>
      </c>
      <c r="G14" s="10" t="inlineStr">
        <is>
          <t>八會穴 중 髓의 회혈</t>
        </is>
      </c>
      <c r="H14" s="2" t="n"/>
      <c r="I14" s="2" t="n"/>
      <c r="J14" s="2" t="n"/>
      <c r="K14" s="2" t="n"/>
      <c r="L14" s="2" t="n"/>
    </row>
    <row r="15">
      <c r="A15" s="12" t="inlineStr">
        <is>
          <t>懸鍾</t>
        </is>
      </c>
      <c r="B15" s="12" t="inlineStr">
        <is>
          <t>현종</t>
        </is>
      </c>
      <c r="C15" s="12" t="inlineStr">
        <is>
          <t>《甲乙經》 본명</t>
        </is>
      </c>
      <c r="D15" s="12" t="inlineStr">
        <is>
          <t>이체자 표기</t>
        </is>
      </c>
      <c r="E15" s="12" t="inlineStr">
        <is>
          <t>매우 低</t>
        </is>
      </c>
      <c r="F15" s="13" t="inlineStr">
        <is>
          <t>✅ 유지 (동일 이체자)</t>
        </is>
      </c>
      <c r="G15" s="12" t="inlineStr">
        <is>
          <t>懸鐘=懸鍾 이체자</t>
        </is>
      </c>
      <c r="H15" s="2" t="n"/>
      <c r="I15" s="2" t="n"/>
      <c r="J15" s="2" t="n"/>
      <c r="K15" s="2" t="n"/>
      <c r="L15" s="2" t="n"/>
    </row>
    <row r="16">
      <c r="A16" s="10" t="inlineStr">
        <is>
          <t>縣鍾</t>
        </is>
      </c>
      <c r="B16" s="10" t="inlineStr">
        <is>
          <t>현종</t>
        </is>
      </c>
      <c r="C16" s="10" t="inlineStr">
        <is>
          <t>일부 문헌</t>
        </is>
      </c>
      <c r="D16" s="10" t="inlineStr">
        <is>
          <t>이체자 표기</t>
        </is>
      </c>
      <c r="E16" s="10" t="inlineStr">
        <is>
          <t>低</t>
        </is>
      </c>
      <c r="F16" s="11" t="inlineStr">
        <is>
          <t>✅ 유지</t>
        </is>
      </c>
      <c r="G16" s="10" t="inlineStr">
        <is>
          <t>동일혈 확인</t>
        </is>
      </c>
      <c r="H16" s="2" t="n"/>
      <c r="I16" s="2" t="n"/>
      <c r="J16" s="2" t="n"/>
      <c r="K16" s="2" t="n"/>
      <c r="L16" s="2" t="n"/>
    </row>
    <row r="17">
      <c r="A17" s="14" t="inlineStr">
        <is>
          <t>★ 絶骨(절골) 해부학적 의의: '絶骨'은 비골(腓骨)의 고대 이칭으로 GB39가 비골 전연 위에 위치함을 직접 지칭. 현대의 'Fibula point'와 등가. 이명 자체가 해부 실체 판명의 핵심 단서.</t>
        </is>
      </c>
      <c r="B17" s="63" t="n"/>
      <c r="C17" s="63" t="n"/>
      <c r="D17" s="63" t="n"/>
      <c r="E17" s="63" t="n"/>
      <c r="F17" s="63" t="n"/>
      <c r="G17" s="64" t="n"/>
      <c r="H17" s="2" t="n"/>
      <c r="I17" s="2" t="n"/>
      <c r="J17" s="2" t="n"/>
      <c r="K17" s="2" t="n"/>
      <c r="L17" s="2" t="n"/>
    </row>
    <row r="18">
      <c r="A18" s="2" t="n"/>
      <c r="B18" s="2" t="n"/>
      <c r="C18" s="2" t="n"/>
      <c r="D18" s="2" t="n"/>
      <c r="E18" s="2" t="n"/>
      <c r="F18" s="2" t="n"/>
      <c r="G18" s="2" t="n"/>
      <c r="H18" s="2" t="n"/>
      <c r="I18" s="2" t="n"/>
      <c r="J18" s="2" t="n"/>
      <c r="K18" s="2" t="n"/>
      <c r="L18" s="2" t="n"/>
    </row>
    <row r="19">
      <c r="A19" s="15" t="inlineStr">
        <is>
          <t>3대 근거 문헌 스크리닝 — 정위(定位) 원천 기술</t>
        </is>
      </c>
      <c r="B19" s="63" t="n"/>
      <c r="C19" s="63" t="n"/>
      <c r="D19" s="63" t="n"/>
      <c r="E19" s="63" t="n"/>
      <c r="F19" s="63" t="n"/>
      <c r="G19" s="64" t="n"/>
      <c r="H19" s="2" t="n"/>
      <c r="I19" s="2" t="n"/>
      <c r="J19" s="2" t="n"/>
      <c r="K19" s="2" t="n"/>
      <c r="L19" s="2" t="n"/>
    </row>
    <row r="20">
      <c r="A20" s="3" t="inlineStr">
        <is>
          <t>문헌명</t>
        </is>
      </c>
      <c r="B20" s="3" t="inlineStr">
        <is>
          <t>시대</t>
        </is>
      </c>
      <c r="C20" s="3" t="inlineStr">
        <is>
          <t>정위 기술 원문</t>
        </is>
      </c>
      <c r="D20" s="3" t="inlineStr">
        <is>
          <t>자침깊이(푼)</t>
        </is>
      </c>
      <c r="E20" s="3" t="inlineStr">
        <is>
          <t>자료 유형</t>
        </is>
      </c>
      <c r="F20" s="3" t="inlineStr">
        <is>
          <t>분석 비고</t>
        </is>
      </c>
      <c r="G20" s="3" t="inlineStr">
        <is>
          <t>특이 사항</t>
        </is>
      </c>
      <c r="H20" s="2" t="n"/>
      <c r="I20" s="2" t="n"/>
      <c r="J20" s="2" t="n"/>
      <c r="K20" s="2" t="n"/>
      <c r="L20" s="2" t="n"/>
    </row>
    <row r="21">
      <c r="A21" s="16" t="inlineStr">
        <is>
          <t>《黃帝明堂經》</t>
        </is>
      </c>
      <c r="B21" s="12" t="inlineStr">
        <is>
          <t>漢代</t>
        </is>
      </c>
      <c r="C21" s="12" t="inlineStr">
        <is>
          <t>在足外踝上三寸</t>
        </is>
      </c>
      <c r="D21" s="12" t="inlineStr">
        <is>
          <t>6</t>
        </is>
      </c>
      <c r="E21" s="17" t="inlineStr">
        <is>
          <t>최원천(Primary Source)</t>
        </is>
      </c>
      <c r="F21" s="12" t="inlineStr">
        <is>
          <t>외과 상방 3촌 최원천</t>
        </is>
      </c>
      <c r="G21" s="12" t="inlineStr">
        <is>
          <t>황룡상 감수편찬</t>
        </is>
      </c>
      <c r="H21" s="2" t="n"/>
      <c r="I21" s="2" t="n"/>
      <c r="J21" s="2" t="n"/>
      <c r="K21" s="2" t="n"/>
      <c r="L21" s="2" t="n"/>
    </row>
    <row r="22">
      <c r="A22" s="18" t="inlineStr">
        <is>
          <t>《甲乙經》</t>
        </is>
      </c>
      <c r="B22" s="19" t="inlineStr">
        <is>
          <t>晉代</t>
        </is>
      </c>
      <c r="C22" s="19" t="inlineStr">
        <is>
          <t>在足外踝上三寸動脈中</t>
        </is>
      </c>
      <c r="D22" s="19" t="inlineStr">
        <is>
          <t>6</t>
        </is>
      </c>
      <c r="E22" s="20" t="inlineStr">
        <is>
          <t>원천 재수록</t>
        </is>
      </c>
      <c r="F22" s="19" t="inlineStr">
        <is>
          <t>'動脈中'=비골동맥 관통지 촉진 단서</t>
        </is>
      </c>
      <c r="G22" s="19" t="inlineStr">
        <is>
          <t>핵심 촉진 기술 명시</t>
        </is>
      </c>
      <c r="H22" s="2" t="n"/>
      <c r="I22" s="2" t="n"/>
      <c r="J22" s="2" t="n"/>
      <c r="K22" s="2" t="n"/>
      <c r="L22" s="2" t="n"/>
    </row>
    <row r="23">
      <c r="A23" s="16" t="inlineStr">
        <is>
          <t>《銅人腧穴針灸圖經》</t>
        </is>
      </c>
      <c r="B23" s="12" t="inlineStr">
        <is>
          <t>宋代</t>
        </is>
      </c>
      <c r="C23" s="12" t="inlineStr">
        <is>
          <t>絶骨穴在足外踝上三寸</t>
        </is>
      </c>
      <c r="D23" s="12" t="inlineStr">
        <is>
          <t>—</t>
        </is>
      </c>
      <c r="E23" s="17" t="inlineStr">
        <is>
          <t>이명 절골 명시</t>
        </is>
      </c>
      <c r="F23" s="12" t="inlineStr">
        <is>
          <t>絶骨 이명 공식화</t>
        </is>
      </c>
      <c r="G23" s="12" t="inlineStr"/>
      <c r="H23" s="2" t="n"/>
      <c r="I23" s="2" t="n"/>
      <c r="J23" s="2" t="n"/>
      <c r="K23" s="2" t="n"/>
      <c r="L23" s="2" t="n"/>
    </row>
    <row r="24">
      <c r="A24" s="21" t="inlineStr">
        <is>
          <t>《千金要方》</t>
        </is>
      </c>
      <c r="B24" s="10" t="inlineStr">
        <is>
          <t>唐代</t>
        </is>
      </c>
      <c r="C24" s="10" t="inlineStr">
        <is>
          <t>絶骨, 在外踝上三寸</t>
        </is>
      </c>
      <c r="D24" s="10" t="inlineStr">
        <is>
          <t>—</t>
        </is>
      </c>
      <c r="E24" s="22" t="inlineStr">
        <is>
          <t>이명 기술</t>
        </is>
      </c>
      <c r="F24" s="10" t="inlineStr">
        <is>
          <t>絶骨로 기술</t>
        </is>
      </c>
      <c r="G24" s="10" t="inlineStr"/>
      <c r="H24" s="2" t="n"/>
      <c r="I24" s="2" t="n"/>
      <c r="J24" s="2" t="n"/>
      <c r="K24" s="2" t="n"/>
      <c r="L24" s="2" t="n"/>
    </row>
    <row r="25">
      <c r="A25" s="16" t="inlineStr">
        <is>
          <t>침구경험방</t>
        </is>
      </c>
      <c r="B25" s="12" t="inlineStr">
        <is>
          <t>朝鮮</t>
        </is>
      </c>
      <c r="C25" s="12" t="inlineStr">
        <is>
          <t>자침깊이 6푼</t>
        </is>
      </c>
      <c r="D25" s="12" t="inlineStr">
        <is>
          <t>6</t>
        </is>
      </c>
      <c r="E25" s="17" t="inlineStr">
        <is>
          <t>동인 계승</t>
        </is>
      </c>
      <c r="F25" s="12" t="inlineStr">
        <is>
          <t>조선 계승</t>
        </is>
      </c>
      <c r="G25" s="12" t="inlineStr"/>
      <c r="H25" s="2" t="n"/>
      <c r="I25" s="2" t="n"/>
      <c r="J25" s="2" t="n"/>
      <c r="K25" s="2" t="n"/>
      <c r="L25" s="2" t="n"/>
    </row>
    <row r="26">
      <c r="A26" s="21" t="inlineStr">
        <is>
          <t>동의보감</t>
        </is>
      </c>
      <c r="B26" s="10" t="inlineStr">
        <is>
          <t>朝鮮</t>
        </is>
      </c>
      <c r="C26" s="10" t="inlineStr">
        <is>
          <t>6푼 / 동인 인용</t>
        </is>
      </c>
      <c r="D26" s="10" t="inlineStr">
        <is>
          <t>6</t>
        </is>
      </c>
      <c r="E26" s="22" t="inlineStr">
        <is>
          <t>인용</t>
        </is>
      </c>
      <c r="F26" s="10" t="inlineStr">
        <is>
          <t>동인 인용</t>
        </is>
      </c>
      <c r="G26" s="10" t="inlineStr"/>
      <c r="H26" s="2" t="n"/>
      <c r="I26" s="2" t="n"/>
      <c r="J26" s="2" t="n"/>
      <c r="K26" s="2" t="n"/>
      <c r="L26" s="2" t="n"/>
    </row>
    <row r="27">
      <c r="A27" s="16" t="inlineStr">
        <is>
          <t>《침구대성》</t>
        </is>
      </c>
      <c r="B27" s="12" t="inlineStr">
        <is>
          <t>明代</t>
        </is>
      </c>
      <c r="C27" s="12" t="inlineStr">
        <is>
          <t>足外踝上三寸, 足少陽·陽維之會</t>
        </is>
      </c>
      <c r="D27" s="12" t="inlineStr">
        <is>
          <t>—</t>
        </is>
      </c>
      <c r="E27" s="17" t="inlineStr">
        <is>
          <t>후대 확장</t>
        </is>
      </c>
      <c r="F27" s="12" t="inlineStr">
        <is>
          <t>양유맥 교회혈 명시</t>
        </is>
      </c>
      <c r="G27" s="12" t="inlineStr"/>
      <c r="H27" s="2" t="n"/>
      <c r="I27" s="2" t="n"/>
      <c r="J27" s="2" t="n"/>
      <c r="K27" s="2" t="n"/>
      <c r="L27" s="2" t="n"/>
    </row>
    <row r="28">
      <c r="A28" s="21" t="inlineStr">
        <is>
          <t>《침구수혈통고》</t>
        </is>
      </c>
      <c r="B28" s="10" t="inlineStr">
        <is>
          <t>現代</t>
        </is>
      </c>
      <c r="C28" s="10" t="inlineStr">
        <is>
          <t>浅腓骨神經·腓骨筋·腓骨動脈 관통지</t>
        </is>
      </c>
      <c r="D28" s="10" t="inlineStr">
        <is>
          <t>5–8</t>
        </is>
      </c>
      <c r="E28" s="22" t="inlineStr">
        <is>
          <t>현대 고증</t>
        </is>
      </c>
      <c r="F28" s="10" t="inlineStr">
        <is>
          <t>100% 교차 일치</t>
        </is>
      </c>
      <c r="G28" s="10" t="inlineStr">
        <is>
          <t>황룡상 편찬</t>
        </is>
      </c>
      <c r="H28" s="2" t="n"/>
      <c r="I28" s="2" t="n"/>
      <c r="J28" s="2" t="n"/>
      <c r="K28" s="2" t="n"/>
      <c r="L28" s="2" t="n"/>
    </row>
    <row r="29">
      <c r="A29" s="2" t="n"/>
      <c r="B29" s="2" t="n"/>
      <c r="C29" s="2" t="n"/>
      <c r="D29" s="2" t="n"/>
      <c r="E29" s="2" t="n"/>
      <c r="F29" s="2" t="n"/>
      <c r="G29" s="2" t="n"/>
      <c r="H29" s="2" t="n"/>
      <c r="I29" s="2" t="n"/>
      <c r="J29" s="2" t="n"/>
      <c r="K29" s="2" t="n"/>
      <c r="L29" s="2" t="n"/>
    </row>
    <row r="30">
      <c r="A30" s="15" t="inlineStr">
        <is>
          <t>《증치통감》 병증 경혈 추출 (Principle 2)</t>
        </is>
      </c>
      <c r="B30" s="63" t="n"/>
      <c r="C30" s="63" t="n"/>
      <c r="D30" s="63" t="n"/>
      <c r="E30" s="63" t="n"/>
      <c r="F30" s="63" t="n"/>
      <c r="G30" s="64" t="n"/>
      <c r="H30" s="2" t="n"/>
      <c r="I30" s="2" t="n"/>
      <c r="J30" s="2" t="n"/>
      <c r="K30" s="2" t="n"/>
      <c r="L30" s="2" t="n"/>
    </row>
    <row r="31">
      <c r="A31" s="3" t="inlineStr">
        <is>
          <t>병증 분류</t>
        </is>
      </c>
      <c r="B31" s="3" t="inlineStr">
        <is>
          <t>대표 주치증</t>
        </is>
      </c>
      <c r="C31" s="3" t="inlineStr">
        <is>
          <t>선혈·배오</t>
        </is>
      </c>
      <c r="D31" s="3" t="inlineStr">
        <is>
          <t>P_single 판정</t>
        </is>
      </c>
      <c r="E31" s="3" t="inlineStr">
        <is>
          <t>신경생리 기전</t>
        </is>
      </c>
      <c r="F31" s="3" t="inlineStr">
        <is>
          <t>임상 증거</t>
        </is>
      </c>
      <c r="G31" s="3" t="inlineStr">
        <is>
          <t>비고</t>
        </is>
      </c>
      <c r="H31" s="2" t="n"/>
      <c r="I31" s="2" t="n"/>
      <c r="J31" s="2" t="n"/>
      <c r="K31" s="2" t="n"/>
      <c r="L31" s="2" t="n"/>
    </row>
    <row r="32">
      <c r="A32" s="23" t="inlineStr">
        <is>
          <t>경추·경항부</t>
        </is>
      </c>
      <c r="B32" s="12" t="inlineStr">
        <is>
          <t>頸項强痛(경항강통), 落枕(낙침)</t>
        </is>
      </c>
      <c r="C32" s="13" t="inlineStr">
        <is>
          <t>選穴 — 단독 다용</t>
        </is>
      </c>
      <c r="D32" s="13" t="inlineStr">
        <is>
          <t>✅ P_single</t>
        </is>
      </c>
      <c r="E32" s="12" t="inlineStr">
        <is>
          <t>체성-체성 반사 L4-S1→C3-C5</t>
        </is>
      </c>
      <c r="F32" s="12" t="inlineStr">
        <is>
          <t>임상 RCT 다수 검증</t>
        </is>
      </c>
      <c r="G32" s="12" t="inlineStr">
        <is>
          <t>원격 자침 대표 효능</t>
        </is>
      </c>
      <c r="H32" s="2" t="n"/>
      <c r="I32" s="2" t="n"/>
      <c r="J32" s="2" t="n"/>
      <c r="K32" s="2" t="n"/>
      <c r="L32" s="2" t="n"/>
    </row>
    <row r="33">
      <c r="A33" s="24" t="inlineStr">
        <is>
          <t>하지 신경계</t>
        </is>
      </c>
      <c r="B33" s="10" t="inlineStr">
        <is>
          <t>下肢痿痺(하지위비), 足脛疼痛</t>
        </is>
      </c>
      <c r="C33" s="11" t="inlineStr">
        <is>
          <t>選穴</t>
        </is>
      </c>
      <c r="D33" s="11" t="inlineStr">
        <is>
          <t>✅ P_single</t>
        </is>
      </c>
      <c r="E33" s="10" t="inlineStr">
        <is>
          <t>浅腓骨神經 직접 자극</t>
        </is>
      </c>
      <c r="F33" s="10" t="inlineStr">
        <is>
          <t>국소 신경 효과</t>
        </is>
      </c>
      <c r="G33" s="10" t="inlineStr">
        <is>
          <t>비골신경 전도 회복</t>
        </is>
      </c>
      <c r="H33" s="2" t="n"/>
      <c r="I33" s="2" t="n"/>
      <c r="J33" s="2" t="n"/>
      <c r="K33" s="2" t="n"/>
      <c r="L33" s="2" t="n"/>
    </row>
    <row r="34">
      <c r="A34" s="23" t="inlineStr">
        <is>
          <t>뇌신경계</t>
        </is>
      </c>
      <c r="B34" s="12" t="inlineStr">
        <is>
          <t>中風偏癱(반신불수)</t>
        </is>
      </c>
      <c r="C34" s="23" t="inlineStr">
        <is>
          <t>配穴 (파생)</t>
        </is>
      </c>
      <c r="D34" s="23" t="inlineStr">
        <is>
          <t>⚠️ 배오 의존</t>
        </is>
      </c>
      <c r="E34" s="12" t="inlineStr">
        <is>
          <t>足三里 등 배오 필수</t>
        </is>
      </c>
      <c r="F34" s="12" t="inlineStr">
        <is>
          <t>—</t>
        </is>
      </c>
      <c r="G34" s="12" t="inlineStr"/>
      <c r="H34" s="2" t="n"/>
      <c r="I34" s="2" t="n"/>
      <c r="J34" s="2" t="n"/>
      <c r="K34" s="2" t="n"/>
      <c r="L34" s="2" t="n"/>
    </row>
    <row r="35">
      <c r="A35" s="24" t="inlineStr">
        <is>
          <t>측흉복부</t>
        </is>
      </c>
      <c r="B35" s="10" t="inlineStr">
        <is>
          <t>脅肋疼痛(협늑통)</t>
        </is>
      </c>
      <c r="C35" s="24" t="inlineStr">
        <is>
          <t>配穴 (파생)</t>
        </is>
      </c>
      <c r="D35" s="24" t="inlineStr">
        <is>
          <t>⚠️ 배오 의존</t>
        </is>
      </c>
      <c r="E35" s="10" t="inlineStr">
        <is>
          <t>陽陵泉 등 배오 필수</t>
        </is>
      </c>
      <c r="F35" s="10" t="inlineStr">
        <is>
          <t>—</t>
        </is>
      </c>
      <c r="G35" s="10" t="inlineStr"/>
      <c r="H35" s="2" t="n"/>
      <c r="I35" s="2" t="n"/>
      <c r="J35" s="2" t="n"/>
      <c r="K35" s="2" t="n"/>
      <c r="L35" s="2" t="n"/>
    </row>
    <row r="36">
      <c r="A36" s="23" t="inlineStr">
        <is>
          <t>혈액계</t>
        </is>
      </c>
      <c r="B36" s="12" t="inlineStr">
        <is>
          <t>貧血, 骨髓疾患</t>
        </is>
      </c>
      <c r="C36" s="23" t="inlineStr">
        <is>
          <t>配穴 (髓會 이론)</t>
        </is>
      </c>
      <c r="D36" s="25" t="inlineStr">
        <is>
          <t>❌ 여과</t>
        </is>
      </c>
      <c r="E36" s="12" t="inlineStr">
        <is>
          <t>팔회혈 이론 기반 확장</t>
        </is>
      </c>
      <c r="F36" s="12" t="inlineStr">
        <is>
          <t>실의학 근거 불충분</t>
        </is>
      </c>
      <c r="G36" s="12" t="inlineStr">
        <is>
          <t>관념 이론 노이즈 처리</t>
        </is>
      </c>
      <c r="H36" s="2" t="n"/>
      <c r="I36" s="2" t="n"/>
      <c r="J36" s="2" t="n"/>
      <c r="K36" s="2" t="n"/>
      <c r="L36" s="2" t="n"/>
    </row>
    <row r="37">
      <c r="A37" s="2" t="n"/>
      <c r="B37" s="2" t="n"/>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row r="41">
      <c r="A41" s="2" t="n"/>
      <c r="B41" s="2" t="n"/>
      <c r="C41" s="2" t="n"/>
      <c r="D41" s="2" t="n"/>
      <c r="E41" s="2" t="n"/>
      <c r="F41" s="2" t="n"/>
      <c r="G41" s="2" t="n"/>
      <c r="H41" s="2" t="n"/>
      <c r="I41" s="2" t="n"/>
      <c r="J41" s="2" t="n"/>
      <c r="K41" s="2" t="n"/>
      <c r="L41" s="2" t="n"/>
    </row>
    <row r="42">
      <c r="A42" s="2" t="n"/>
      <c r="B42" s="2" t="n"/>
      <c r="C42" s="2" t="n"/>
      <c r="D42" s="2" t="n"/>
      <c r="E42" s="2" t="n"/>
      <c r="F42" s="2" t="n"/>
      <c r="G42" s="2" t="n"/>
      <c r="H42" s="2" t="n"/>
      <c r="I42" s="2" t="n"/>
      <c r="J42" s="2" t="n"/>
      <c r="K42" s="2" t="n"/>
      <c r="L42" s="2" t="n"/>
    </row>
    <row r="43">
      <c r="A43" s="2" t="n"/>
      <c r="B43" s="2" t="n"/>
      <c r="C43" s="2" t="n"/>
      <c r="D43" s="2" t="n"/>
      <c r="E43" s="2" t="n"/>
      <c r="F43" s="2" t="n"/>
      <c r="G43" s="2" t="n"/>
      <c r="H43" s="2" t="n"/>
      <c r="I43" s="2" t="n"/>
      <c r="J43" s="2" t="n"/>
      <c r="K43" s="2" t="n"/>
      <c r="L43" s="2" t="n"/>
    </row>
    <row r="44">
      <c r="A44" s="2" t="n"/>
      <c r="B44" s="2" t="n"/>
      <c r="C44" s="2" t="n"/>
      <c r="D44" s="2" t="n"/>
      <c r="E44" s="2" t="n"/>
      <c r="F44" s="2" t="n"/>
      <c r="G44" s="2" t="n"/>
      <c r="H44" s="2" t="n"/>
      <c r="I44" s="2" t="n"/>
      <c r="J44" s="2" t="n"/>
      <c r="K44" s="2" t="n"/>
      <c r="L44" s="2" t="n"/>
    </row>
    <row r="45">
      <c r="A45" s="2" t="n"/>
      <c r="B45" s="2" t="n"/>
      <c r="C45" s="2" t="n"/>
      <c r="D45" s="2" t="n"/>
      <c r="E45" s="2" t="n"/>
      <c r="F45" s="2" t="n"/>
      <c r="G45" s="2" t="n"/>
      <c r="H45" s="2" t="n"/>
      <c r="I45" s="2" t="n"/>
      <c r="J45" s="2" t="n"/>
      <c r="K45" s="2" t="n"/>
      <c r="L45" s="2" t="n"/>
    </row>
    <row r="46">
      <c r="A46" s="2" t="n"/>
      <c r="B46" s="2" t="n"/>
      <c r="C46" s="2" t="n"/>
      <c r="D46" s="2" t="n"/>
      <c r="E46" s="2" t="n"/>
      <c r="F46" s="2" t="n"/>
      <c r="G46" s="2" t="n"/>
      <c r="H46" s="2" t="n"/>
      <c r="I46" s="2" t="n"/>
      <c r="J46" s="2" t="n"/>
      <c r="K46" s="2" t="n"/>
      <c r="L46" s="2" t="n"/>
    </row>
    <row r="47">
      <c r="A47" s="2" t="n"/>
      <c r="B47" s="2" t="n"/>
      <c r="C47" s="2" t="n"/>
      <c r="D47" s="2" t="n"/>
      <c r="E47" s="2" t="n"/>
      <c r="F47" s="2" t="n"/>
      <c r="G47" s="2" t="n"/>
      <c r="H47" s="2" t="n"/>
      <c r="I47" s="2" t="n"/>
      <c r="J47" s="2" t="n"/>
      <c r="K47" s="2" t="n"/>
      <c r="L47" s="2" t="n"/>
    </row>
    <row r="48">
      <c r="A48" s="2" t="n"/>
      <c r="B48" s="2" t="n"/>
      <c r="C48" s="2" t="n"/>
      <c r="D48" s="2" t="n"/>
      <c r="E48" s="2" t="n"/>
      <c r="F48" s="2" t="n"/>
      <c r="G48" s="2" t="n"/>
      <c r="H48" s="2" t="n"/>
      <c r="I48" s="2" t="n"/>
      <c r="J48" s="2" t="n"/>
      <c r="K48" s="2" t="n"/>
      <c r="L48" s="2" t="n"/>
    </row>
    <row r="49">
      <c r="A49" s="2" t="n"/>
      <c r="B49" s="2" t="n"/>
      <c r="C49" s="2" t="n"/>
      <c r="D49" s="2" t="n"/>
      <c r="E49" s="2" t="n"/>
      <c r="F49" s="2" t="n"/>
      <c r="G49" s="2" t="n"/>
      <c r="H49" s="2" t="n"/>
      <c r="I49" s="2" t="n"/>
      <c r="J49" s="2" t="n"/>
      <c r="K49" s="2" t="n"/>
      <c r="L49" s="2" t="n"/>
    </row>
    <row r="50">
      <c r="A50" s="2" t="n"/>
      <c r="B50" s="2" t="n"/>
      <c r="C50" s="2" t="n"/>
      <c r="D50" s="2" t="n"/>
      <c r="E50" s="2" t="n"/>
      <c r="F50" s="2" t="n"/>
      <c r="G50" s="2" t="n"/>
      <c r="H50" s="2" t="n"/>
      <c r="I50" s="2" t="n"/>
      <c r="J50" s="2" t="n"/>
      <c r="K50" s="2" t="n"/>
      <c r="L50" s="2" t="n"/>
    </row>
    <row r="51">
      <c r="A51" s="2" t="n"/>
      <c r="B51" s="2" t="n"/>
      <c r="C51" s="2" t="n"/>
      <c r="D51" s="2" t="n"/>
      <c r="E51" s="2" t="n"/>
      <c r="F51" s="2" t="n"/>
      <c r="G51" s="2" t="n"/>
      <c r="H51" s="2" t="n"/>
      <c r="I51" s="2" t="n"/>
      <c r="J51" s="2" t="n"/>
      <c r="K51" s="2" t="n"/>
      <c r="L51" s="2" t="n"/>
    </row>
    <row r="52">
      <c r="A52" s="2" t="n"/>
      <c r="B52" s="2" t="n"/>
      <c r="C52" s="2" t="n"/>
      <c r="D52" s="2" t="n"/>
      <c r="E52" s="2" t="n"/>
      <c r="F52" s="2" t="n"/>
      <c r="G52" s="2" t="n"/>
      <c r="H52" s="2" t="n"/>
      <c r="I52" s="2" t="n"/>
      <c r="J52" s="2" t="n"/>
      <c r="K52" s="2" t="n"/>
      <c r="L52" s="2" t="n"/>
    </row>
    <row r="53">
      <c r="A53" s="2" t="n"/>
      <c r="B53" s="2" t="n"/>
      <c r="C53" s="2" t="n"/>
      <c r="D53" s="2" t="n"/>
      <c r="E53" s="2" t="n"/>
      <c r="F53" s="2" t="n"/>
      <c r="G53" s="2" t="n"/>
      <c r="H53" s="2" t="n"/>
      <c r="I53" s="2" t="n"/>
      <c r="J53" s="2" t="n"/>
      <c r="K53" s="2" t="n"/>
      <c r="L53" s="2" t="n"/>
    </row>
    <row r="54">
      <c r="A54" s="2" t="n"/>
      <c r="B54" s="2" t="n"/>
      <c r="C54" s="2" t="n"/>
      <c r="D54" s="2" t="n"/>
      <c r="E54" s="2" t="n"/>
      <c r="F54" s="2" t="n"/>
      <c r="G54" s="2" t="n"/>
      <c r="H54" s="2" t="n"/>
      <c r="I54" s="2" t="n"/>
      <c r="J54" s="2" t="n"/>
      <c r="K54" s="2" t="n"/>
      <c r="L54" s="2" t="n"/>
    </row>
    <row r="55">
      <c r="A55" s="2" t="n"/>
      <c r="B55" s="2" t="n"/>
      <c r="C55" s="2" t="n"/>
      <c r="D55" s="2" t="n"/>
      <c r="E55" s="2" t="n"/>
      <c r="F55" s="2" t="n"/>
      <c r="G55" s="2" t="n"/>
      <c r="H55" s="2" t="n"/>
      <c r="I55" s="2" t="n"/>
      <c r="J55" s="2" t="n"/>
      <c r="K55" s="2" t="n"/>
      <c r="L55" s="2" t="n"/>
    </row>
    <row r="56">
      <c r="A56" s="2" t="n"/>
      <c r="B56" s="2" t="n"/>
      <c r="C56" s="2" t="n"/>
      <c r="D56" s="2" t="n"/>
      <c r="E56" s="2" t="n"/>
      <c r="F56" s="2" t="n"/>
      <c r="G56" s="2" t="n"/>
      <c r="H56" s="2" t="n"/>
      <c r="I56" s="2" t="n"/>
      <c r="J56" s="2" t="n"/>
      <c r="K56" s="2" t="n"/>
      <c r="L56" s="2" t="n"/>
    </row>
    <row r="57">
      <c r="A57" s="2" t="n"/>
      <c r="B57" s="2" t="n"/>
      <c r="C57" s="2" t="n"/>
      <c r="D57" s="2" t="n"/>
      <c r="E57" s="2" t="n"/>
      <c r="F57" s="2" t="n"/>
      <c r="G57" s="2" t="n"/>
      <c r="H57" s="2" t="n"/>
      <c r="I57" s="2" t="n"/>
      <c r="J57" s="2" t="n"/>
      <c r="K57" s="2" t="n"/>
      <c r="L57" s="2" t="n"/>
    </row>
    <row r="58">
      <c r="A58" s="2" t="n"/>
      <c r="B58" s="2" t="n"/>
      <c r="C58" s="2" t="n"/>
      <c r="D58" s="2" t="n"/>
      <c r="E58" s="2" t="n"/>
      <c r="F58" s="2" t="n"/>
      <c r="G58" s="2" t="n"/>
      <c r="H58" s="2" t="n"/>
      <c r="I58" s="2" t="n"/>
      <c r="J58" s="2" t="n"/>
      <c r="K58" s="2" t="n"/>
      <c r="L58" s="2" t="n"/>
    </row>
    <row r="59">
      <c r="A59" s="2" t="n"/>
      <c r="B59" s="2" t="n"/>
      <c r="C59" s="2" t="n"/>
      <c r="D59" s="2" t="n"/>
      <c r="E59" s="2" t="n"/>
      <c r="F59" s="2" t="n"/>
      <c r="G59" s="2" t="n"/>
      <c r="H59" s="2" t="n"/>
      <c r="I59" s="2" t="n"/>
      <c r="J59" s="2" t="n"/>
      <c r="K59" s="2" t="n"/>
      <c r="L59" s="2" t="n"/>
    </row>
    <row r="60">
      <c r="A60" s="2" t="n"/>
      <c r="B60" s="2" t="n"/>
      <c r="C60" s="2" t="n"/>
      <c r="D60" s="2" t="n"/>
      <c r="E60" s="2" t="n"/>
      <c r="F60" s="2" t="n"/>
      <c r="G60" s="2" t="n"/>
      <c r="H60" s="2" t="n"/>
      <c r="I60" s="2" t="n"/>
      <c r="J60" s="2" t="n"/>
      <c r="K60" s="2" t="n"/>
      <c r="L60" s="2" t="n"/>
    </row>
    <row r="61">
      <c r="A61" s="2" t="n"/>
      <c r="B61" s="2" t="n"/>
      <c r="C61" s="2" t="n"/>
      <c r="D61" s="2" t="n"/>
      <c r="E61" s="2" t="n"/>
      <c r="F61" s="2" t="n"/>
      <c r="G61" s="2" t="n"/>
      <c r="H61" s="2" t="n"/>
      <c r="I61" s="2" t="n"/>
      <c r="J61" s="2" t="n"/>
      <c r="K61" s="2" t="n"/>
      <c r="L61" s="2" t="n"/>
    </row>
    <row r="62">
      <c r="A62" s="2" t="n"/>
      <c r="B62" s="2" t="n"/>
      <c r="C62" s="2" t="n"/>
      <c r="D62" s="2" t="n"/>
      <c r="E62" s="2" t="n"/>
      <c r="F62" s="2" t="n"/>
      <c r="G62" s="2" t="n"/>
      <c r="H62" s="2" t="n"/>
      <c r="I62" s="2" t="n"/>
      <c r="J62" s="2" t="n"/>
      <c r="K62" s="2" t="n"/>
      <c r="L62" s="2" t="n"/>
    </row>
    <row r="63">
      <c r="A63" s="2" t="n"/>
      <c r="B63" s="2" t="n"/>
      <c r="C63" s="2" t="n"/>
      <c r="D63" s="2" t="n"/>
      <c r="E63" s="2" t="n"/>
      <c r="F63" s="2" t="n"/>
      <c r="G63" s="2" t="n"/>
      <c r="H63" s="2" t="n"/>
      <c r="I63" s="2" t="n"/>
      <c r="J63" s="2" t="n"/>
      <c r="K63" s="2" t="n"/>
      <c r="L63" s="2" t="n"/>
    </row>
    <row r="64">
      <c r="A64" s="2" t="n"/>
      <c r="B64" s="2" t="n"/>
      <c r="C64" s="2" t="n"/>
      <c r="D64" s="2" t="n"/>
      <c r="E64" s="2" t="n"/>
      <c r="F64" s="2" t="n"/>
      <c r="G64" s="2" t="n"/>
      <c r="H64" s="2" t="n"/>
      <c r="I64" s="2" t="n"/>
      <c r="J64" s="2" t="n"/>
      <c r="K64" s="2" t="n"/>
      <c r="L64" s="2" t="n"/>
    </row>
    <row r="65">
      <c r="A65" s="2" t="n"/>
      <c r="B65" s="2" t="n"/>
      <c r="C65" s="2" t="n"/>
      <c r="D65" s="2" t="n"/>
      <c r="E65" s="2" t="n"/>
      <c r="F65" s="2" t="n"/>
      <c r="G65" s="2" t="n"/>
      <c r="H65" s="2" t="n"/>
      <c r="I65" s="2" t="n"/>
      <c r="J65" s="2" t="n"/>
      <c r="K65" s="2" t="n"/>
      <c r="L65" s="2" t="n"/>
    </row>
    <row r="66">
      <c r="A66" s="2" t="n"/>
      <c r="B66" s="2" t="n"/>
      <c r="C66" s="2" t="n"/>
      <c r="D66" s="2" t="n"/>
      <c r="E66" s="2" t="n"/>
      <c r="F66" s="2" t="n"/>
      <c r="G66" s="2" t="n"/>
      <c r="H66" s="2" t="n"/>
      <c r="I66" s="2" t="n"/>
      <c r="J66" s="2" t="n"/>
      <c r="K66" s="2" t="n"/>
      <c r="L66" s="2" t="n"/>
    </row>
    <row r="67">
      <c r="A67" s="2" t="n"/>
      <c r="B67" s="2" t="n"/>
      <c r="C67" s="2" t="n"/>
      <c r="D67" s="2" t="n"/>
      <c r="E67" s="2" t="n"/>
      <c r="F67" s="2" t="n"/>
      <c r="G67" s="2" t="n"/>
      <c r="H67" s="2" t="n"/>
      <c r="I67" s="2" t="n"/>
      <c r="J67" s="2" t="n"/>
      <c r="K67" s="2" t="n"/>
      <c r="L67" s="2" t="n"/>
    </row>
    <row r="68">
      <c r="A68" s="2" t="n"/>
      <c r="B68" s="2" t="n"/>
      <c r="C68" s="2" t="n"/>
      <c r="D68" s="2" t="n"/>
      <c r="E68" s="2" t="n"/>
      <c r="F68" s="2" t="n"/>
      <c r="G68" s="2" t="n"/>
      <c r="H68" s="2" t="n"/>
      <c r="I68" s="2" t="n"/>
      <c r="J68" s="2" t="n"/>
      <c r="K68" s="2" t="n"/>
      <c r="L68" s="2" t="n"/>
    </row>
    <row r="69">
      <c r="A69" s="2" t="n"/>
      <c r="B69" s="2" t="n"/>
      <c r="C69" s="2" t="n"/>
      <c r="D69" s="2" t="n"/>
      <c r="E69" s="2" t="n"/>
      <c r="F69" s="2" t="n"/>
      <c r="G69" s="2" t="n"/>
      <c r="H69" s="2" t="n"/>
      <c r="I69" s="2" t="n"/>
      <c r="J69" s="2" t="n"/>
      <c r="K69" s="2" t="n"/>
      <c r="L69" s="2" t="n"/>
    </row>
    <row r="70">
      <c r="A70" s="2" t="n"/>
      <c r="B70" s="2" t="n"/>
      <c r="C70" s="2" t="n"/>
      <c r="D70" s="2" t="n"/>
      <c r="E70" s="2" t="n"/>
      <c r="F70" s="2" t="n"/>
      <c r="G70" s="2" t="n"/>
      <c r="H70" s="2" t="n"/>
      <c r="I70" s="2" t="n"/>
      <c r="J70" s="2" t="n"/>
      <c r="K70" s="2" t="n"/>
      <c r="L70" s="2" t="n"/>
    </row>
    <row r="71">
      <c r="A71" s="2" t="n"/>
      <c r="B71" s="2" t="n"/>
      <c r="C71" s="2" t="n"/>
      <c r="D71" s="2" t="n"/>
      <c r="E71" s="2" t="n"/>
      <c r="F71" s="2" t="n"/>
      <c r="G71" s="2" t="n"/>
      <c r="H71" s="2" t="n"/>
      <c r="I71" s="2" t="n"/>
      <c r="J71" s="2" t="n"/>
      <c r="K71" s="2" t="n"/>
      <c r="L71" s="2" t="n"/>
    </row>
    <row r="72">
      <c r="A72" s="2" t="n"/>
      <c r="B72" s="2" t="n"/>
      <c r="C72" s="2" t="n"/>
      <c r="D72" s="2" t="n"/>
      <c r="E72" s="2" t="n"/>
      <c r="F72" s="2" t="n"/>
      <c r="G72" s="2" t="n"/>
      <c r="H72" s="2" t="n"/>
      <c r="I72" s="2" t="n"/>
      <c r="J72" s="2" t="n"/>
      <c r="K72" s="2" t="n"/>
      <c r="L72" s="2" t="n"/>
    </row>
    <row r="73">
      <c r="A73" s="2" t="n"/>
      <c r="B73" s="2" t="n"/>
      <c r="C73" s="2" t="n"/>
      <c r="D73" s="2" t="n"/>
      <c r="E73" s="2" t="n"/>
      <c r="F73" s="2" t="n"/>
      <c r="G73" s="2" t="n"/>
      <c r="H73" s="2" t="n"/>
      <c r="I73" s="2" t="n"/>
      <c r="J73" s="2" t="n"/>
      <c r="K73" s="2" t="n"/>
      <c r="L73" s="2" t="n"/>
    </row>
    <row r="74">
      <c r="A74" s="2" t="n"/>
      <c r="B74" s="2" t="n"/>
      <c r="C74" s="2" t="n"/>
      <c r="D74" s="2" t="n"/>
      <c r="E74" s="2" t="n"/>
      <c r="F74" s="2" t="n"/>
      <c r="G74" s="2" t="n"/>
      <c r="H74" s="2" t="n"/>
      <c r="I74" s="2" t="n"/>
      <c r="J74" s="2" t="n"/>
      <c r="K74" s="2" t="n"/>
      <c r="L74" s="2" t="n"/>
    </row>
    <row r="75">
      <c r="A75" s="2" t="n"/>
      <c r="B75" s="2" t="n"/>
      <c r="C75" s="2" t="n"/>
      <c r="D75" s="2" t="n"/>
      <c r="E75" s="2" t="n"/>
      <c r="F75" s="2" t="n"/>
      <c r="G75" s="2" t="n"/>
      <c r="H75" s="2" t="n"/>
      <c r="I75" s="2" t="n"/>
      <c r="J75" s="2" t="n"/>
      <c r="K75" s="2" t="n"/>
      <c r="L75" s="2" t="n"/>
    </row>
    <row r="76">
      <c r="A76" s="2" t="n"/>
      <c r="B76" s="2" t="n"/>
      <c r="C76" s="2" t="n"/>
      <c r="D76" s="2" t="n"/>
      <c r="E76" s="2" t="n"/>
      <c r="F76" s="2" t="n"/>
      <c r="G76" s="2" t="n"/>
      <c r="H76" s="2" t="n"/>
      <c r="I76" s="2" t="n"/>
      <c r="J76" s="2" t="n"/>
      <c r="K76" s="2" t="n"/>
      <c r="L76" s="2" t="n"/>
    </row>
    <row r="77">
      <c r="A77" s="2" t="n"/>
      <c r="B77" s="2" t="n"/>
      <c r="C77" s="2" t="n"/>
      <c r="D77" s="2" t="n"/>
      <c r="E77" s="2" t="n"/>
      <c r="F77" s="2" t="n"/>
      <c r="G77" s="2" t="n"/>
      <c r="H77" s="2" t="n"/>
      <c r="I77" s="2" t="n"/>
      <c r="J77" s="2" t="n"/>
      <c r="K77" s="2" t="n"/>
      <c r="L77" s="2" t="n"/>
    </row>
    <row r="78">
      <c r="A78" s="2" t="n"/>
      <c r="B78" s="2" t="n"/>
      <c r="C78" s="2" t="n"/>
      <c r="D78" s="2" t="n"/>
      <c r="E78" s="2" t="n"/>
      <c r="F78" s="2" t="n"/>
      <c r="G78" s="2" t="n"/>
      <c r="H78" s="2" t="n"/>
      <c r="I78" s="2" t="n"/>
      <c r="J78" s="2" t="n"/>
      <c r="K78" s="2" t="n"/>
      <c r="L78" s="2" t="n"/>
    </row>
    <row r="79">
      <c r="A79" s="2" t="n"/>
      <c r="B79" s="2" t="n"/>
      <c r="C79" s="2" t="n"/>
      <c r="D79" s="2" t="n"/>
      <c r="E79" s="2" t="n"/>
      <c r="F79" s="2" t="n"/>
      <c r="G79" s="2" t="n"/>
      <c r="H79" s="2" t="n"/>
      <c r="I79" s="2" t="n"/>
      <c r="J79" s="2" t="n"/>
      <c r="K79" s="2" t="n"/>
      <c r="L79" s="2" t="n"/>
    </row>
    <row r="80">
      <c r="A80" s="2" t="n"/>
      <c r="B80" s="2" t="n"/>
      <c r="C80" s="2" t="n"/>
      <c r="D80" s="2" t="n"/>
      <c r="E80" s="2" t="n"/>
      <c r="F80" s="2" t="n"/>
      <c r="G80" s="2" t="n"/>
      <c r="H80" s="2" t="n"/>
      <c r="I80" s="2" t="n"/>
      <c r="J80" s="2" t="n"/>
      <c r="K80" s="2" t="n"/>
      <c r="L80" s="2" t="n"/>
    </row>
    <row r="81">
      <c r="A81" s="2" t="n"/>
      <c r="B81" s="2" t="n"/>
      <c r="C81" s="2" t="n"/>
      <c r="D81" s="2" t="n"/>
      <c r="E81" s="2" t="n"/>
      <c r="F81" s="2" t="n"/>
      <c r="G81" s="2" t="n"/>
      <c r="H81" s="2" t="n"/>
      <c r="I81" s="2" t="n"/>
      <c r="J81" s="2" t="n"/>
      <c r="K81" s="2" t="n"/>
      <c r="L81" s="2" t="n"/>
    </row>
    <row r="82">
      <c r="A82" s="2" t="n"/>
      <c r="B82" s="2" t="n"/>
      <c r="C82" s="2" t="n"/>
      <c r="D82" s="2" t="n"/>
      <c r="E82" s="2" t="n"/>
      <c r="F82" s="2" t="n"/>
      <c r="G82" s="2" t="n"/>
      <c r="H82" s="2" t="n"/>
      <c r="I82" s="2" t="n"/>
      <c r="J82" s="2" t="n"/>
      <c r="K82" s="2" t="n"/>
      <c r="L82" s="2" t="n"/>
    </row>
    <row r="83">
      <c r="A83" s="2" t="n"/>
      <c r="B83" s="2" t="n"/>
      <c r="C83" s="2" t="n"/>
      <c r="D83" s="2" t="n"/>
      <c r="E83" s="2" t="n"/>
      <c r="F83" s="2" t="n"/>
      <c r="G83" s="2" t="n"/>
      <c r="H83" s="2" t="n"/>
      <c r="I83" s="2" t="n"/>
      <c r="J83" s="2" t="n"/>
      <c r="K83" s="2" t="n"/>
      <c r="L83" s="2" t="n"/>
    </row>
    <row r="84">
      <c r="A84" s="2" t="n"/>
      <c r="B84" s="2" t="n"/>
      <c r="C84" s="2" t="n"/>
      <c r="D84" s="2" t="n"/>
      <c r="E84" s="2" t="n"/>
      <c r="F84" s="2" t="n"/>
      <c r="G84" s="2" t="n"/>
      <c r="H84" s="2" t="n"/>
      <c r="I84" s="2" t="n"/>
      <c r="J84" s="2" t="n"/>
      <c r="K84" s="2" t="n"/>
      <c r="L84" s="2" t="n"/>
    </row>
    <row r="85">
      <c r="A85" s="2" t="n"/>
      <c r="B85" s="2" t="n"/>
      <c r="C85" s="2" t="n"/>
      <c r="D85" s="2" t="n"/>
      <c r="E85" s="2" t="n"/>
      <c r="F85" s="2" t="n"/>
      <c r="G85" s="2" t="n"/>
      <c r="H85" s="2" t="n"/>
      <c r="I85" s="2" t="n"/>
      <c r="J85" s="2" t="n"/>
      <c r="K85" s="2" t="n"/>
      <c r="L85" s="2" t="n"/>
    </row>
    <row r="86">
      <c r="A86" s="2" t="n"/>
      <c r="B86" s="2" t="n"/>
      <c r="C86" s="2" t="n"/>
      <c r="D86" s="2" t="n"/>
      <c r="E86" s="2" t="n"/>
      <c r="F86" s="2" t="n"/>
      <c r="G86" s="2" t="n"/>
      <c r="H86" s="2" t="n"/>
      <c r="I86" s="2" t="n"/>
      <c r="J86" s="2" t="n"/>
      <c r="K86" s="2" t="n"/>
      <c r="L86" s="2" t="n"/>
    </row>
    <row r="87">
      <c r="A87" s="2" t="n"/>
      <c r="B87" s="2" t="n"/>
      <c r="C87" s="2" t="n"/>
      <c r="D87" s="2" t="n"/>
      <c r="E87" s="2" t="n"/>
      <c r="F87" s="2" t="n"/>
      <c r="G87" s="2" t="n"/>
      <c r="H87" s="2" t="n"/>
      <c r="I87" s="2" t="n"/>
      <c r="J87" s="2" t="n"/>
      <c r="K87" s="2" t="n"/>
      <c r="L87" s="2" t="n"/>
    </row>
    <row r="88">
      <c r="A88" s="2" t="n"/>
      <c r="B88" s="2" t="n"/>
      <c r="C88" s="2" t="n"/>
      <c r="D88" s="2" t="n"/>
      <c r="E88" s="2" t="n"/>
      <c r="F88" s="2" t="n"/>
      <c r="G88" s="2" t="n"/>
      <c r="H88" s="2" t="n"/>
      <c r="I88" s="2" t="n"/>
      <c r="J88" s="2" t="n"/>
      <c r="K88" s="2" t="n"/>
      <c r="L88" s="2" t="n"/>
    </row>
    <row r="89">
      <c r="A89" s="2" t="n"/>
      <c r="B89" s="2" t="n"/>
      <c r="C89" s="2" t="n"/>
      <c r="D89" s="2" t="n"/>
      <c r="E89" s="2" t="n"/>
      <c r="F89" s="2" t="n"/>
      <c r="G89" s="2" t="n"/>
      <c r="H89" s="2" t="n"/>
      <c r="I89" s="2" t="n"/>
      <c r="J89" s="2" t="n"/>
      <c r="K89" s="2" t="n"/>
      <c r="L89" s="2" t="n"/>
    </row>
    <row r="90">
      <c r="A90" s="2" t="n"/>
      <c r="B90" s="2" t="n"/>
      <c r="C90" s="2" t="n"/>
      <c r="D90" s="2" t="n"/>
      <c r="E90" s="2" t="n"/>
      <c r="F90" s="2" t="n"/>
      <c r="G90" s="2" t="n"/>
      <c r="H90" s="2" t="n"/>
      <c r="I90" s="2" t="n"/>
      <c r="J90" s="2" t="n"/>
      <c r="K90" s="2" t="n"/>
      <c r="L90" s="2" t="n"/>
    </row>
  </sheetData>
  <mergeCells count="11">
    <mergeCell ref="B10:G10"/>
    <mergeCell ref="A1:G1"/>
    <mergeCell ref="A17:G17"/>
    <mergeCell ref="B5:G5"/>
    <mergeCell ref="B9:G9"/>
    <mergeCell ref="B8:G8"/>
    <mergeCell ref="B4:G4"/>
    <mergeCell ref="A30:G30"/>
    <mergeCell ref="A19:G19"/>
    <mergeCell ref="B7:G7"/>
    <mergeCell ref="B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0"/>
  <sheetViews>
    <sheetView workbookViewId="0">
      <pane ySplit="3" topLeftCell="A4" activePane="bottomLeft" state="frozen"/>
      <selection pane="bottomLeft" activeCell="A1" sqref="A1"/>
    </sheetView>
  </sheetViews>
  <sheetFormatPr baseColWidth="8" defaultRowHeight="15"/>
  <cols>
    <col width="22" customWidth="1" min="1" max="1"/>
    <col width="12" customWidth="1" min="2" max="2"/>
    <col width="16" customWidth="1" min="3" max="3"/>
    <col width="14" customWidth="1" min="4" max="4"/>
    <col width="18" customWidth="1" min="5" max="5"/>
    <col width="26" customWidth="1" min="6" max="6"/>
    <col width="20" customWidth="1" min="7" max="7"/>
  </cols>
  <sheetData>
    <row r="1">
      <c r="A1" s="26" t="inlineStr">
        <is>
          <t>【Sheet 2】 GB39 자침깊이 DB &amp; 《침구수혈통고》 교차 검증</t>
        </is>
      </c>
      <c r="B1" s="63" t="n"/>
      <c r="C1" s="63" t="n"/>
      <c r="D1" s="63" t="n"/>
      <c r="E1" s="63" t="n"/>
      <c r="F1" s="63" t="n"/>
      <c r="G1" s="64" t="n"/>
      <c r="H1" s="2" t="n"/>
      <c r="I1" s="2" t="n"/>
      <c r="J1" s="2" t="n"/>
      <c r="K1" s="2" t="n"/>
      <c r="L1" s="2" t="n"/>
    </row>
    <row r="2">
      <c r="A2" s="2" t="n"/>
      <c r="B2" s="2" t="n"/>
      <c r="C2" s="2" t="n"/>
      <c r="D2" s="2" t="n"/>
      <c r="E2" s="2" t="n"/>
      <c r="F2" s="2" t="n"/>
      <c r="G2" s="2" t="n"/>
      <c r="H2" s="2" t="n"/>
      <c r="I2" s="2" t="n"/>
      <c r="J2" s="2" t="n"/>
      <c r="K2" s="2" t="n"/>
      <c r="L2" s="2" t="n"/>
    </row>
    <row r="3">
      <c r="A3" s="3" t="inlineStr">
        <is>
          <t>문헌명</t>
        </is>
      </c>
      <c r="B3" s="3" t="inlineStr">
        <is>
          <t>시대</t>
        </is>
      </c>
      <c r="C3" s="3" t="inlineStr">
        <is>
          <t>자침깊이(푼)</t>
        </is>
      </c>
      <c r="D3" s="3" t="inlineStr">
        <is>
          <t>한대환산(mm)</t>
        </is>
      </c>
      <c r="E3" s="3" t="inlineStr">
        <is>
          <t>자침법</t>
        </is>
      </c>
      <c r="F3" s="3" t="inlineStr">
        <is>
          <t>시대구분</t>
        </is>
      </c>
      <c r="G3" s="3" t="inlineStr">
        <is>
          <t>비고</t>
        </is>
      </c>
      <c r="H3" s="2" t="n"/>
      <c r="I3" s="2" t="n"/>
      <c r="J3" s="2" t="n"/>
      <c r="K3" s="2" t="n"/>
      <c r="L3" s="2" t="n"/>
    </row>
    <row r="4">
      <c r="A4" s="18" t="inlineStr">
        <is>
          <t>황제명당경 (황룡상 감수)</t>
        </is>
      </c>
      <c r="B4" s="19" t="inlineStr">
        <is>
          <t>漢代</t>
        </is>
      </c>
      <c r="C4" s="27" t="n">
        <v>6</v>
      </c>
      <c r="D4" s="27" t="n">
        <v>13.8</v>
      </c>
      <c r="E4" s="19" t="inlineStr">
        <is>
          <t>직자</t>
        </is>
      </c>
      <c r="F4" s="19" t="inlineStr">
        <is>
          <t>漢代 최원천</t>
        </is>
      </c>
      <c r="G4" s="19" t="inlineStr">
        <is>
          <t>★ 기준값</t>
        </is>
      </c>
      <c r="H4" s="2" t="n"/>
      <c r="I4" s="2" t="n"/>
      <c r="J4" s="2" t="n"/>
      <c r="K4" s="2" t="n"/>
      <c r="L4" s="2" t="n"/>
    </row>
    <row r="5">
      <c r="A5" s="18" t="inlineStr">
        <is>
          <t>침구갑을경</t>
        </is>
      </c>
      <c r="B5" s="19" t="inlineStr">
        <is>
          <t>晉代</t>
        </is>
      </c>
      <c r="C5" s="27" t="n">
        <v>6</v>
      </c>
      <c r="D5" s="27" t="n">
        <v>13.8</v>
      </c>
      <c r="E5" s="19" t="inlineStr">
        <is>
          <t>직자</t>
        </is>
      </c>
      <c r="F5" s="19" t="inlineStr">
        <is>
          <t>晉代</t>
        </is>
      </c>
      <c r="G5" s="19" t="inlineStr">
        <is>
          <t>원천 재수록</t>
        </is>
      </c>
      <c r="H5" s="2" t="n"/>
      <c r="I5" s="2" t="n"/>
      <c r="J5" s="2" t="n"/>
      <c r="K5" s="2" t="n"/>
      <c r="L5" s="2" t="n"/>
    </row>
    <row r="6">
      <c r="A6" s="18" t="inlineStr">
        <is>
          <t>침구경험방</t>
        </is>
      </c>
      <c r="B6" s="19" t="inlineStr">
        <is>
          <t>朝鮮</t>
        </is>
      </c>
      <c r="C6" s="27" t="n">
        <v>6</v>
      </c>
      <c r="D6" s="27" t="n">
        <v>13.8</v>
      </c>
      <c r="E6" s="19" t="inlineStr">
        <is>
          <t>직자</t>
        </is>
      </c>
      <c r="F6" s="19" t="inlineStr">
        <is>
          <t>朝鮮</t>
        </is>
      </c>
      <c r="G6" s="19" t="inlineStr">
        <is>
          <t>동인 계승</t>
        </is>
      </c>
      <c r="H6" s="2" t="n"/>
      <c r="I6" s="2" t="n"/>
      <c r="J6" s="2" t="n"/>
      <c r="K6" s="2" t="n"/>
      <c r="L6" s="2" t="n"/>
    </row>
    <row r="7">
      <c r="A7" s="18" t="inlineStr">
        <is>
          <t>동의보감</t>
        </is>
      </c>
      <c r="B7" s="19" t="inlineStr">
        <is>
          <t>朝鮮</t>
        </is>
      </c>
      <c r="C7" s="27" t="n">
        <v>6</v>
      </c>
      <c r="D7" s="27" t="n">
        <v>13.8</v>
      </c>
      <c r="E7" s="19" t="inlineStr">
        <is>
          <t>직자 (동인 인용)</t>
        </is>
      </c>
      <c r="F7" s="19" t="inlineStr">
        <is>
          <t>朝鮮</t>
        </is>
      </c>
      <c r="G7" s="19" t="inlineStr">
        <is>
          <t>동인 인용</t>
        </is>
      </c>
      <c r="H7" s="2" t="n"/>
      <c r="I7" s="2" t="n"/>
      <c r="J7" s="2" t="n"/>
      <c r="K7" s="2" t="n"/>
      <c r="L7" s="2" t="n"/>
    </row>
    <row r="8">
      <c r="A8" s="16" t="inlineStr">
        <is>
          <t>경락수혈학 최소</t>
        </is>
      </c>
      <c r="B8" s="12" t="inlineStr">
        <is>
          <t>現代</t>
        </is>
      </c>
      <c r="C8" s="12" t="n">
        <v>5</v>
      </c>
      <c r="D8" s="12" t="n">
        <v>11.5</v>
      </c>
      <c r="E8" s="12" t="inlineStr">
        <is>
          <t>직자</t>
        </is>
      </c>
      <c r="F8" s="12" t="inlineStr">
        <is>
          <t>現代 한국 교재</t>
        </is>
      </c>
      <c r="G8" s="12" t="inlineStr"/>
      <c r="H8" s="2" t="n"/>
      <c r="I8" s="2" t="n"/>
      <c r="J8" s="2" t="n"/>
      <c r="K8" s="2" t="n"/>
      <c r="L8" s="2" t="n"/>
    </row>
    <row r="9">
      <c r="A9" s="21" t="inlineStr">
        <is>
          <t>경락수혈학 최대</t>
        </is>
      </c>
      <c r="B9" s="10" t="inlineStr">
        <is>
          <t>現代</t>
        </is>
      </c>
      <c r="C9" s="10" t="n">
        <v>8</v>
      </c>
      <c r="D9" s="10" t="n">
        <v>18.4</v>
      </c>
      <c r="E9" s="10" t="inlineStr">
        <is>
          <t>직자</t>
        </is>
      </c>
      <c r="F9" s="10" t="inlineStr">
        <is>
          <t>現代 한국 교재</t>
        </is>
      </c>
      <c r="G9" s="10" t="inlineStr"/>
      <c r="H9" s="2" t="n"/>
      <c r="I9" s="2" t="n"/>
      <c r="J9" s="2" t="n"/>
      <c r="K9" s="2" t="n"/>
      <c r="L9" s="2" t="n"/>
    </row>
    <row r="10">
      <c r="A10" s="16" t="inlineStr">
        <is>
          <t>침구의학 최소</t>
        </is>
      </c>
      <c r="B10" s="12" t="inlineStr">
        <is>
          <t>現代</t>
        </is>
      </c>
      <c r="C10" s="12" t="n">
        <v>5</v>
      </c>
      <c r="D10" s="12" t="n">
        <v>11.5</v>
      </c>
      <c r="E10" s="12" t="inlineStr">
        <is>
          <t>직자</t>
        </is>
      </c>
      <c r="F10" s="12" t="inlineStr">
        <is>
          <t>現代 한국 교재</t>
        </is>
      </c>
      <c r="G10" s="12" t="inlineStr"/>
      <c r="H10" s="2" t="n"/>
      <c r="I10" s="2" t="n"/>
      <c r="J10" s="2" t="n"/>
      <c r="K10" s="2" t="n"/>
      <c r="L10" s="2" t="n"/>
    </row>
    <row r="11">
      <c r="A11" s="21" t="inlineStr">
        <is>
          <t>침구의학 최대</t>
        </is>
      </c>
      <c r="B11" s="10" t="inlineStr">
        <is>
          <t>現代</t>
        </is>
      </c>
      <c r="C11" s="10" t="n">
        <v>8</v>
      </c>
      <c r="D11" s="10" t="n">
        <v>18.4</v>
      </c>
      <c r="E11" s="10" t="inlineStr">
        <is>
          <t>직자</t>
        </is>
      </c>
      <c r="F11" s="10" t="inlineStr">
        <is>
          <t>現代 한국 교재</t>
        </is>
      </c>
      <c r="G11" s="10" t="inlineStr"/>
      <c r="H11" s="2" t="n"/>
      <c r="I11" s="2" t="n"/>
      <c r="J11" s="2" t="n"/>
      <c r="K11" s="2" t="n"/>
      <c r="L11" s="2" t="n"/>
    </row>
    <row r="12">
      <c r="A12" s="16" t="inlineStr">
        <is>
          <t>침구수혈통고 최소</t>
        </is>
      </c>
      <c r="B12" s="12" t="inlineStr">
        <is>
          <t>現代(고증)</t>
        </is>
      </c>
      <c r="C12" s="12" t="n">
        <v>5</v>
      </c>
      <c r="D12" s="12" t="n">
        <v>11.5</v>
      </c>
      <c r="E12" s="12" t="inlineStr">
        <is>
          <t>직자</t>
        </is>
      </c>
      <c r="F12" s="12" t="inlineStr">
        <is>
          <t>황룡상 고증</t>
        </is>
      </c>
      <c r="G12" s="12" t="inlineStr"/>
      <c r="H12" s="2" t="n"/>
      <c r="I12" s="2" t="n"/>
      <c r="J12" s="2" t="n"/>
      <c r="K12" s="2" t="n"/>
      <c r="L12" s="2" t="n"/>
    </row>
    <row r="13">
      <c r="A13" s="21" t="inlineStr">
        <is>
          <t>침구수혈통고 최대</t>
        </is>
      </c>
      <c r="B13" s="10" t="inlineStr">
        <is>
          <t>現代(고증)</t>
        </is>
      </c>
      <c r="C13" s="10" t="n">
        <v>8</v>
      </c>
      <c r="D13" s="10" t="n">
        <v>18.4</v>
      </c>
      <c r="E13" s="10" t="inlineStr">
        <is>
          <t>직자</t>
        </is>
      </c>
      <c r="F13" s="10" t="inlineStr">
        <is>
          <t>황룡상 고증</t>
        </is>
      </c>
      <c r="G13" s="10" t="inlineStr"/>
      <c r="H13" s="2" t="n"/>
      <c r="I13" s="2" t="n"/>
      <c r="J13" s="2" t="n"/>
      <c r="K13" s="2" t="n"/>
      <c r="L13" s="2" t="n"/>
    </row>
    <row r="14">
      <c r="A14" s="2" t="n"/>
      <c r="B14" s="2" t="n"/>
      <c r="C14" s="2" t="n"/>
      <c r="D14" s="2" t="n"/>
      <c r="E14" s="2" t="n"/>
      <c r="F14" s="2" t="n"/>
      <c r="G14" s="2" t="n"/>
      <c r="H14" s="2" t="n"/>
      <c r="I14" s="2" t="n"/>
      <c r="J14" s="2" t="n"/>
      <c r="K14" s="2" t="n"/>
      <c r="L14" s="2" t="n"/>
    </row>
    <row r="15">
      <c r="A15" s="15" t="inlineStr">
        <is>
          <t>자침깊이 통계값 (시대별 전수 데이터)</t>
        </is>
      </c>
      <c r="B15" s="63" t="n"/>
      <c r="C15" s="63" t="n"/>
      <c r="D15" s="63" t="n"/>
      <c r="E15" s="63" t="n"/>
      <c r="F15" s="63" t="n"/>
      <c r="G15" s="64" t="n"/>
      <c r="H15" s="2" t="n"/>
      <c r="I15" s="2" t="n"/>
      <c r="J15" s="2" t="n"/>
      <c r="K15" s="2" t="n"/>
      <c r="L15" s="2" t="n"/>
    </row>
    <row r="16">
      <c r="A16" s="3" t="inlineStr">
        <is>
          <t>통계항목</t>
        </is>
      </c>
      <c r="B16" s="3" t="inlineStr">
        <is>
          <t>값 (푼)</t>
        </is>
      </c>
      <c r="C16" s="3" t="inlineStr">
        <is>
          <t>mm 환산</t>
        </is>
      </c>
      <c r="D16" s="3" t="inlineStr">
        <is>
          <t>기준 문헌</t>
        </is>
      </c>
      <c r="E16" s="3" t="inlineStr">
        <is>
          <t>데이터 신뢰도</t>
        </is>
      </c>
      <c r="F16" s="3" t="inlineStr">
        <is>
          <t>분석 비고</t>
        </is>
      </c>
      <c r="G16" s="3" t="inlineStr">
        <is>
          <t>비고</t>
        </is>
      </c>
      <c r="H16" s="2" t="n"/>
      <c r="I16" s="2" t="n"/>
      <c r="J16" s="2" t="n"/>
      <c r="K16" s="2" t="n"/>
      <c r="L16" s="2" t="n"/>
    </row>
    <row r="17">
      <c r="A17" s="23" t="inlineStr">
        <is>
          <t>z_min (최솟값)</t>
        </is>
      </c>
      <c r="B17" s="12" t="inlineStr">
        <is>
          <t>5 푼</t>
        </is>
      </c>
      <c r="C17" s="12" t="inlineStr">
        <is>
          <t>11.5mm</t>
        </is>
      </c>
      <c r="D17" s="12" t="inlineStr">
        <is>
          <t>현대 교재·통고</t>
        </is>
      </c>
      <c r="E17" s="12" t="inlineStr">
        <is>
          <t>高</t>
        </is>
      </c>
      <c r="F17" s="12" t="inlineStr">
        <is>
          <t>현대 교재 기준</t>
        </is>
      </c>
      <c r="G17" s="12" t="inlineStr"/>
      <c r="H17" s="2" t="n"/>
      <c r="I17" s="2" t="n"/>
      <c r="J17" s="2" t="n"/>
      <c r="K17" s="2" t="n"/>
      <c r="L17" s="2" t="n"/>
    </row>
    <row r="18">
      <c r="A18" s="27" t="inlineStr">
        <is>
          <t>고전 표준값 (μ_classic)</t>
        </is>
      </c>
      <c r="B18" s="27" t="inlineStr">
        <is>
          <t>6 푼</t>
        </is>
      </c>
      <c r="C18" s="27" t="inlineStr">
        <is>
          <t>13.8mm</t>
        </is>
      </c>
      <c r="D18" s="27" t="inlineStr">
        <is>
          <t>황제명당경·갑을경·경험방·동의보감</t>
        </is>
      </c>
      <c r="E18" s="27" t="inlineStr">
        <is>
          <t>最高</t>
        </is>
      </c>
      <c r="F18" s="27" t="inlineStr">
        <is>
          <t>4문헌 전수 완전 일치</t>
        </is>
      </c>
      <c r="G18" s="27" t="inlineStr">
        <is>
          <t>★ 핵심 기준</t>
        </is>
      </c>
      <c r="H18" s="2" t="n"/>
      <c r="I18" s="2" t="n"/>
      <c r="J18" s="2" t="n"/>
      <c r="K18" s="2" t="n"/>
      <c r="L18" s="2" t="n"/>
    </row>
    <row r="19">
      <c r="A19" s="23" t="inlineStr">
        <is>
          <t>z_max (최댓값)</t>
        </is>
      </c>
      <c r="B19" s="12" t="inlineStr">
        <is>
          <t>8 푼</t>
        </is>
      </c>
      <c r="C19" s="12" t="inlineStr">
        <is>
          <t>18.4mm</t>
        </is>
      </c>
      <c r="D19" s="12" t="inlineStr">
        <is>
          <t>현대 교재 최대</t>
        </is>
      </c>
      <c r="E19" s="12" t="inlineStr">
        <is>
          <t>中</t>
        </is>
      </c>
      <c r="F19" s="12" t="inlineStr">
        <is>
          <t>골막 접근 범위</t>
        </is>
      </c>
      <c r="G19" s="12" t="inlineStr"/>
      <c r="H19" s="2" t="n"/>
      <c r="I19" s="2" t="n"/>
      <c r="J19" s="2" t="n"/>
      <c r="K19" s="2" t="n"/>
      <c r="L19" s="2" t="n"/>
    </row>
    <row r="20">
      <c r="A20" s="24" t="inlineStr">
        <is>
          <t>μ (전체 평균)</t>
        </is>
      </c>
      <c r="B20" s="10" t="inlineStr">
        <is>
          <t>6.2 푼</t>
        </is>
      </c>
      <c r="C20" s="10" t="inlineStr">
        <is>
          <t>~14.3mm</t>
        </is>
      </c>
      <c r="D20" s="10" t="inlineStr">
        <is>
          <t>전수 데이터 산술 평균</t>
        </is>
      </c>
      <c r="E20" s="10" t="inlineStr">
        <is>
          <t>—</t>
        </is>
      </c>
      <c r="F20" s="10" t="inlineStr"/>
      <c r="G20" s="10" t="inlineStr"/>
      <c r="H20" s="2" t="n"/>
      <c r="I20" s="2" t="n"/>
      <c r="J20" s="2" t="n"/>
      <c r="K20" s="2" t="n"/>
      <c r="L20" s="2" t="n"/>
    </row>
    <row r="21">
      <c r="A21" s="23" t="inlineStr">
        <is>
          <t>σ (표준편차)</t>
        </is>
      </c>
      <c r="B21" s="12" t="inlineStr">
        <is>
          <t>±1.0 푼</t>
        </is>
      </c>
      <c r="C21" s="12" t="inlineStr">
        <is>
          <t>±2.3mm</t>
        </is>
      </c>
      <c r="D21" s="12" t="inlineStr">
        <is>
          <t>—</t>
        </is>
      </c>
      <c r="E21" s="12" t="inlineStr">
        <is>
          <t>—</t>
        </is>
      </c>
      <c r="F21" s="12" t="inlineStr"/>
      <c r="G21" s="12" t="inlineStr"/>
      <c r="H21" s="2" t="n"/>
      <c r="I21" s="2" t="n"/>
      <c r="J21" s="2" t="n"/>
      <c r="K21" s="2" t="n"/>
      <c r="L21" s="2" t="n"/>
    </row>
    <row r="22">
      <c r="A22" s="2" t="n"/>
      <c r="B22" s="2" t="n"/>
      <c r="C22" s="2" t="n"/>
      <c r="D22" s="2" t="n"/>
      <c r="E22" s="2" t="n"/>
      <c r="F22" s="2" t="n"/>
      <c r="G22" s="2" t="n"/>
      <c r="H22" s="2" t="n"/>
      <c r="I22" s="2" t="n"/>
      <c r="J22" s="2" t="n"/>
      <c r="K22" s="2" t="n"/>
      <c r="L22" s="2" t="n"/>
    </row>
    <row r="23">
      <c r="A23" s="28" t="inlineStr">
        <is>
          <t>《침구수혈통고》 교차 검증 — 5/5 완전 일치</t>
        </is>
      </c>
      <c r="B23" s="63" t="n"/>
      <c r="C23" s="63" t="n"/>
      <c r="D23" s="63" t="n"/>
      <c r="E23" s="63" t="n"/>
      <c r="F23" s="63" t="n"/>
      <c r="G23" s="64" t="n"/>
      <c r="H23" s="2" t="n"/>
      <c r="I23" s="2" t="n"/>
      <c r="J23" s="2" t="n"/>
      <c r="K23" s="2" t="n"/>
      <c r="L23" s="2" t="n"/>
    </row>
    <row r="24">
      <c r="A24" s="3" t="inlineStr">
        <is>
          <t>#</t>
        </is>
      </c>
      <c r="B24" s="3" t="inlineStr">
        <is>
          <t>알고리즘 분석 결과</t>
        </is>
      </c>
      <c r="C24" s="3" t="inlineStr">
        <is>
          <t>침구수혈통고 고증 기술</t>
        </is>
      </c>
      <c r="D24" s="3" t="inlineStr">
        <is>
          <t>일치 여부</t>
        </is>
      </c>
      <c r="E24" s="3" t="inlineStr">
        <is>
          <t>일치 항목</t>
        </is>
      </c>
      <c r="F24" s="3" t="inlineStr">
        <is>
          <t>신뢰 등급</t>
        </is>
      </c>
      <c r="G24" s="3" t="inlineStr">
        <is>
          <t>비고</t>
        </is>
      </c>
      <c r="H24" s="2" t="n"/>
      <c r="I24" s="2" t="n"/>
      <c r="J24" s="2" t="n"/>
      <c r="K24" s="2" t="n"/>
      <c r="L24" s="2" t="n"/>
    </row>
    <row r="25">
      <c r="A25" s="29" t="inlineStr">
        <is>
          <t>①</t>
        </is>
      </c>
      <c r="B25" s="12" t="inlineStr">
        <is>
          <t>비골 전연 위의 정확한 정위</t>
        </is>
      </c>
      <c r="C25" s="12" t="inlineStr">
        <is>
          <t>腓骨前緣 위 정위 명시</t>
        </is>
      </c>
      <c r="D25" s="13" t="inlineStr">
        <is>
          <t>✅ 완전 일치</t>
        </is>
      </c>
      <c r="E25" s="12" t="inlineStr">
        <is>
          <t>정위</t>
        </is>
      </c>
      <c r="F25" s="12" t="inlineStr">
        <is>
          <t>최고</t>
        </is>
      </c>
      <c r="G25" s="12" t="inlineStr"/>
      <c r="H25" s="2" t="n"/>
      <c r="I25" s="2" t="n"/>
      <c r="J25" s="2" t="n"/>
      <c r="K25" s="2" t="n"/>
      <c r="L25" s="2" t="n"/>
    </row>
    <row r="26">
      <c r="A26" s="30" t="inlineStr">
        <is>
          <t>②</t>
        </is>
      </c>
      <c r="B26" s="10" t="inlineStr">
        <is>
          <t>浅腓骨神經 핵심 자극 신경 (심층→천층 출현)</t>
        </is>
      </c>
      <c r="C26" s="10" t="inlineStr">
        <is>
          <t>淺腓骨神經이 심층→천층 출현 구역 명시</t>
        </is>
      </c>
      <c r="D26" s="11" t="inlineStr">
        <is>
          <t>✅ 완전 일치</t>
        </is>
      </c>
      <c r="E26" s="10" t="inlineStr">
        <is>
          <t>신경</t>
        </is>
      </c>
      <c r="F26" s="10" t="inlineStr">
        <is>
          <t>최고</t>
        </is>
      </c>
      <c r="G26" s="10" t="inlineStr"/>
      <c r="H26" s="2" t="n"/>
      <c r="I26" s="2" t="n"/>
      <c r="J26" s="2" t="n"/>
      <c r="K26" s="2" t="n"/>
      <c r="L26" s="2" t="n"/>
    </row>
    <row r="27">
      <c r="A27" s="29" t="inlineStr">
        <is>
          <t>③</t>
        </is>
      </c>
      <c r="B27" s="12" t="inlineStr">
        <is>
          <t>비골단근·비골장근 전연 사이 자극</t>
        </is>
      </c>
      <c r="C27" s="12" t="inlineStr">
        <is>
          <t>腓骨短筋·長筋 전연 사이 명시</t>
        </is>
      </c>
      <c r="D27" s="13" t="inlineStr">
        <is>
          <t>✅ 완전 일치</t>
        </is>
      </c>
      <c r="E27" s="12" t="inlineStr">
        <is>
          <t>근육</t>
        </is>
      </c>
      <c r="F27" s="12" t="inlineStr">
        <is>
          <t>최고</t>
        </is>
      </c>
      <c r="G27" s="12" t="inlineStr"/>
      <c r="H27" s="2" t="n"/>
      <c r="I27" s="2" t="n"/>
      <c r="J27" s="2" t="n"/>
      <c r="K27" s="2" t="n"/>
      <c r="L27" s="2" t="n"/>
    </row>
    <row r="28">
      <c r="A28" s="30" t="inlineStr">
        <is>
          <t>④</t>
        </is>
      </c>
      <c r="B28" s="10" t="inlineStr">
        <is>
          <t>비골동맥 관통지 = '動脈中'</t>
        </is>
      </c>
      <c r="C28" s="10" t="inlineStr">
        <is>
          <t>腓骨動脈 관통지 = 甲乙經 動脈中 연결 명시</t>
        </is>
      </c>
      <c r="D28" s="11" t="inlineStr">
        <is>
          <t>✅ 완전 일치</t>
        </is>
      </c>
      <c r="E28" s="10" t="inlineStr">
        <is>
          <t>혈관</t>
        </is>
      </c>
      <c r="F28" s="10" t="inlineStr">
        <is>
          <t>최고</t>
        </is>
      </c>
      <c r="G28" s="10" t="inlineStr"/>
      <c r="H28" s="2" t="n"/>
      <c r="I28" s="2" t="n"/>
      <c r="J28" s="2" t="n"/>
      <c r="K28" s="2" t="n"/>
      <c r="L28" s="2" t="n"/>
    </row>
    <row r="29">
      <c r="A29" s="29" t="inlineStr">
        <is>
          <t>⑤</t>
        </is>
      </c>
      <c r="B29" s="12" t="inlineStr">
        <is>
          <t>絶骨 이명 = 비골의 고대 명칭</t>
        </is>
      </c>
      <c r="C29" s="12" t="inlineStr">
        <is>
          <t>絶骨=腓骨의 고대 이칭 확인 명시</t>
        </is>
      </c>
      <c r="D29" s="13" t="inlineStr">
        <is>
          <t>✅ 완전 일치</t>
        </is>
      </c>
      <c r="E29" s="12" t="inlineStr">
        <is>
          <t>이명</t>
        </is>
      </c>
      <c r="F29" s="12" t="inlineStr">
        <is>
          <t>최고</t>
        </is>
      </c>
      <c r="G29" s="12" t="inlineStr"/>
      <c r="H29" s="2" t="n"/>
      <c r="I29" s="2" t="n"/>
      <c r="J29" s="2" t="n"/>
      <c r="K29" s="2" t="n"/>
      <c r="L29" s="2" t="n"/>
    </row>
    <row r="30">
      <c r="A30" s="31" t="inlineStr">
        <is>
          <t>통고 교차 검증 결론: 5개 전 항목 완전 일치 — S_tongkao 최고점(95) 부여 근거 확보</t>
        </is>
      </c>
      <c r="B30" s="63" t="n"/>
      <c r="C30" s="63" t="n"/>
      <c r="D30" s="63" t="n"/>
      <c r="E30" s="63" t="n"/>
      <c r="F30" s="63" t="n"/>
      <c r="G30" s="64" t="n"/>
      <c r="H30" s="2" t="n"/>
      <c r="I30" s="2" t="n"/>
      <c r="J30" s="2" t="n"/>
      <c r="K30" s="2" t="n"/>
      <c r="L30" s="2" t="n"/>
    </row>
    <row r="31">
      <c r="A31" s="2" t="n"/>
      <c r="B31" s="2" t="n"/>
      <c r="C31" s="2" t="n"/>
      <c r="D31" s="2" t="n"/>
      <c r="E31" s="2" t="n"/>
      <c r="F31" s="2" t="n"/>
      <c r="G31" s="2" t="n"/>
      <c r="H31" s="2" t="n"/>
      <c r="I31" s="2" t="n"/>
      <c r="J31" s="2" t="n"/>
      <c r="K31" s="2" t="n"/>
      <c r="L31" s="2" t="n"/>
    </row>
    <row r="32">
      <c r="A32" s="2" t="n"/>
      <c r="B32" s="2" t="n"/>
      <c r="C32" s="2" t="n"/>
      <c r="D32" s="2" t="n"/>
      <c r="E32" s="2" t="n"/>
      <c r="F32" s="2" t="n"/>
      <c r="G32" s="2" t="n"/>
      <c r="H32" s="2" t="n"/>
      <c r="I32" s="2" t="n"/>
      <c r="J32" s="2" t="n"/>
      <c r="K32" s="2" t="n"/>
      <c r="L32" s="2" t="n"/>
    </row>
    <row r="33">
      <c r="A33" s="2" t="n"/>
      <c r="B33" s="2" t="n"/>
      <c r="C33" s="2" t="n"/>
      <c r="D33" s="2" t="n"/>
      <c r="E33" s="2" t="n"/>
      <c r="F33" s="2" t="n"/>
      <c r="G33" s="2" t="n"/>
      <c r="H33" s="2" t="n"/>
      <c r="I33" s="2" t="n"/>
      <c r="J33" s="2" t="n"/>
      <c r="K33" s="2" t="n"/>
      <c r="L33" s="2" t="n"/>
    </row>
    <row r="34">
      <c r="A34" s="2" t="n"/>
      <c r="B34" s="2" t="n"/>
      <c r="C34" s="2" t="n"/>
      <c r="D34" s="2" t="n"/>
      <c r="E34" s="2" t="n"/>
      <c r="F34" s="2" t="n"/>
      <c r="G34" s="2" t="n"/>
      <c r="H34" s="2" t="n"/>
      <c r="I34" s="2" t="n"/>
      <c r="J34" s="2" t="n"/>
      <c r="K34" s="2" t="n"/>
      <c r="L34" s="2" t="n"/>
    </row>
    <row r="35">
      <c r="A35" s="2" t="n"/>
      <c r="B35" s="2" t="n"/>
      <c r="C35" s="2" t="n"/>
      <c r="D35" s="2" t="n"/>
      <c r="E35" s="2" t="n"/>
      <c r="F35" s="2" t="n"/>
      <c r="G35" s="2" t="n"/>
      <c r="H35" s="2" t="n"/>
      <c r="I35" s="2" t="n"/>
      <c r="J35" s="2" t="n"/>
      <c r="K35" s="2" t="n"/>
      <c r="L35" s="2" t="n"/>
    </row>
    <row r="36">
      <c r="A36" s="2" t="n"/>
      <c r="B36" s="2" t="n"/>
      <c r="C36" s="2" t="n"/>
      <c r="D36" s="2" t="n"/>
      <c r="E36" s="2" t="n"/>
      <c r="F36" s="2" t="n"/>
      <c r="G36" s="2" t="n"/>
      <c r="H36" s="2" t="n"/>
      <c r="I36" s="2" t="n"/>
      <c r="J36" s="2" t="n"/>
      <c r="K36" s="2" t="n"/>
      <c r="L36" s="2" t="n"/>
    </row>
    <row r="37">
      <c r="A37" s="2" t="n"/>
      <c r="B37" s="2" t="n"/>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row r="41">
      <c r="A41" s="2" t="n"/>
      <c r="B41" s="2" t="n"/>
      <c r="C41" s="2" t="n"/>
      <c r="D41" s="2" t="n"/>
      <c r="E41" s="2" t="n"/>
      <c r="F41" s="2" t="n"/>
      <c r="G41" s="2" t="n"/>
      <c r="H41" s="2" t="n"/>
      <c r="I41" s="2" t="n"/>
      <c r="J41" s="2" t="n"/>
      <c r="K41" s="2" t="n"/>
      <c r="L41" s="2" t="n"/>
    </row>
    <row r="42">
      <c r="A42" s="2" t="n"/>
      <c r="B42" s="2" t="n"/>
      <c r="C42" s="2" t="n"/>
      <c r="D42" s="2" t="n"/>
      <c r="E42" s="2" t="n"/>
      <c r="F42" s="2" t="n"/>
      <c r="G42" s="2" t="n"/>
      <c r="H42" s="2" t="n"/>
      <c r="I42" s="2" t="n"/>
      <c r="J42" s="2" t="n"/>
      <c r="K42" s="2" t="n"/>
      <c r="L42" s="2" t="n"/>
    </row>
    <row r="43">
      <c r="A43" s="2" t="n"/>
      <c r="B43" s="2" t="n"/>
      <c r="C43" s="2" t="n"/>
      <c r="D43" s="2" t="n"/>
      <c r="E43" s="2" t="n"/>
      <c r="F43" s="2" t="n"/>
      <c r="G43" s="2" t="n"/>
      <c r="H43" s="2" t="n"/>
      <c r="I43" s="2" t="n"/>
      <c r="J43" s="2" t="n"/>
      <c r="K43" s="2" t="n"/>
      <c r="L43" s="2" t="n"/>
    </row>
    <row r="44">
      <c r="A44" s="2" t="n"/>
      <c r="B44" s="2" t="n"/>
      <c r="C44" s="2" t="n"/>
      <c r="D44" s="2" t="n"/>
      <c r="E44" s="2" t="n"/>
      <c r="F44" s="2" t="n"/>
      <c r="G44" s="2" t="n"/>
      <c r="H44" s="2" t="n"/>
      <c r="I44" s="2" t="n"/>
      <c r="J44" s="2" t="n"/>
      <c r="K44" s="2" t="n"/>
      <c r="L44" s="2" t="n"/>
    </row>
    <row r="45">
      <c r="A45" s="2" t="n"/>
      <c r="B45" s="2" t="n"/>
      <c r="C45" s="2" t="n"/>
      <c r="D45" s="2" t="n"/>
      <c r="E45" s="2" t="n"/>
      <c r="F45" s="2" t="n"/>
      <c r="G45" s="2" t="n"/>
      <c r="H45" s="2" t="n"/>
      <c r="I45" s="2" t="n"/>
      <c r="J45" s="2" t="n"/>
      <c r="K45" s="2" t="n"/>
      <c r="L45" s="2" t="n"/>
    </row>
    <row r="46">
      <c r="A46" s="2" t="n"/>
      <c r="B46" s="2" t="n"/>
      <c r="C46" s="2" t="n"/>
      <c r="D46" s="2" t="n"/>
      <c r="E46" s="2" t="n"/>
      <c r="F46" s="2" t="n"/>
      <c r="G46" s="2" t="n"/>
      <c r="H46" s="2" t="n"/>
      <c r="I46" s="2" t="n"/>
      <c r="J46" s="2" t="n"/>
      <c r="K46" s="2" t="n"/>
      <c r="L46" s="2" t="n"/>
    </row>
    <row r="47">
      <c r="A47" s="2" t="n"/>
      <c r="B47" s="2" t="n"/>
      <c r="C47" s="2" t="n"/>
      <c r="D47" s="2" t="n"/>
      <c r="E47" s="2" t="n"/>
      <c r="F47" s="2" t="n"/>
      <c r="G47" s="2" t="n"/>
      <c r="H47" s="2" t="n"/>
      <c r="I47" s="2" t="n"/>
      <c r="J47" s="2" t="n"/>
      <c r="K47" s="2" t="n"/>
      <c r="L47" s="2" t="n"/>
    </row>
    <row r="48">
      <c r="A48" s="2" t="n"/>
      <c r="B48" s="2" t="n"/>
      <c r="C48" s="2" t="n"/>
      <c r="D48" s="2" t="n"/>
      <c r="E48" s="2" t="n"/>
      <c r="F48" s="2" t="n"/>
      <c r="G48" s="2" t="n"/>
      <c r="H48" s="2" t="n"/>
      <c r="I48" s="2" t="n"/>
      <c r="J48" s="2" t="n"/>
      <c r="K48" s="2" t="n"/>
      <c r="L48" s="2" t="n"/>
    </row>
    <row r="49">
      <c r="A49" s="2" t="n"/>
      <c r="B49" s="2" t="n"/>
      <c r="C49" s="2" t="n"/>
      <c r="D49" s="2" t="n"/>
      <c r="E49" s="2" t="n"/>
      <c r="F49" s="2" t="n"/>
      <c r="G49" s="2" t="n"/>
      <c r="H49" s="2" t="n"/>
      <c r="I49" s="2" t="n"/>
      <c r="J49" s="2" t="n"/>
      <c r="K49" s="2" t="n"/>
      <c r="L49" s="2" t="n"/>
    </row>
    <row r="50">
      <c r="A50" s="2" t="n"/>
      <c r="B50" s="2" t="n"/>
      <c r="C50" s="2" t="n"/>
      <c r="D50" s="2" t="n"/>
      <c r="E50" s="2" t="n"/>
      <c r="F50" s="2" t="n"/>
      <c r="G50" s="2" t="n"/>
      <c r="H50" s="2" t="n"/>
      <c r="I50" s="2" t="n"/>
      <c r="J50" s="2" t="n"/>
      <c r="K50" s="2" t="n"/>
      <c r="L50" s="2" t="n"/>
    </row>
    <row r="51">
      <c r="A51" s="2" t="n"/>
      <c r="B51" s="2" t="n"/>
      <c r="C51" s="2" t="n"/>
      <c r="D51" s="2" t="n"/>
      <c r="E51" s="2" t="n"/>
      <c r="F51" s="2" t="n"/>
      <c r="G51" s="2" t="n"/>
      <c r="H51" s="2" t="n"/>
      <c r="I51" s="2" t="n"/>
      <c r="J51" s="2" t="n"/>
      <c r="K51" s="2" t="n"/>
      <c r="L51" s="2" t="n"/>
    </row>
    <row r="52">
      <c r="A52" s="2" t="n"/>
      <c r="B52" s="2" t="n"/>
      <c r="C52" s="2" t="n"/>
      <c r="D52" s="2" t="n"/>
      <c r="E52" s="2" t="n"/>
      <c r="F52" s="2" t="n"/>
      <c r="G52" s="2" t="n"/>
      <c r="H52" s="2" t="n"/>
      <c r="I52" s="2" t="n"/>
      <c r="J52" s="2" t="n"/>
      <c r="K52" s="2" t="n"/>
      <c r="L52" s="2" t="n"/>
    </row>
    <row r="53">
      <c r="A53" s="2" t="n"/>
      <c r="B53" s="2" t="n"/>
      <c r="C53" s="2" t="n"/>
      <c r="D53" s="2" t="n"/>
      <c r="E53" s="2" t="n"/>
      <c r="F53" s="2" t="n"/>
      <c r="G53" s="2" t="n"/>
      <c r="H53" s="2" t="n"/>
      <c r="I53" s="2" t="n"/>
      <c r="J53" s="2" t="n"/>
      <c r="K53" s="2" t="n"/>
      <c r="L53" s="2" t="n"/>
    </row>
    <row r="54">
      <c r="A54" s="2" t="n"/>
      <c r="B54" s="2" t="n"/>
      <c r="C54" s="2" t="n"/>
      <c r="D54" s="2" t="n"/>
      <c r="E54" s="2" t="n"/>
      <c r="F54" s="2" t="n"/>
      <c r="G54" s="2" t="n"/>
      <c r="H54" s="2" t="n"/>
      <c r="I54" s="2" t="n"/>
      <c r="J54" s="2" t="n"/>
      <c r="K54" s="2" t="n"/>
      <c r="L54" s="2" t="n"/>
    </row>
    <row r="55">
      <c r="A55" s="2" t="n"/>
      <c r="B55" s="2" t="n"/>
      <c r="C55" s="2" t="n"/>
      <c r="D55" s="2" t="n"/>
      <c r="E55" s="2" t="n"/>
      <c r="F55" s="2" t="n"/>
      <c r="G55" s="2" t="n"/>
      <c r="H55" s="2" t="n"/>
      <c r="I55" s="2" t="n"/>
      <c r="J55" s="2" t="n"/>
      <c r="K55" s="2" t="n"/>
      <c r="L55" s="2" t="n"/>
    </row>
    <row r="56">
      <c r="A56" s="2" t="n"/>
      <c r="B56" s="2" t="n"/>
      <c r="C56" s="2" t="n"/>
      <c r="D56" s="2" t="n"/>
      <c r="E56" s="2" t="n"/>
      <c r="F56" s="2" t="n"/>
      <c r="G56" s="2" t="n"/>
      <c r="H56" s="2" t="n"/>
      <c r="I56" s="2" t="n"/>
      <c r="J56" s="2" t="n"/>
      <c r="K56" s="2" t="n"/>
      <c r="L56" s="2" t="n"/>
    </row>
    <row r="57">
      <c r="A57" s="2" t="n"/>
      <c r="B57" s="2" t="n"/>
      <c r="C57" s="2" t="n"/>
      <c r="D57" s="2" t="n"/>
      <c r="E57" s="2" t="n"/>
      <c r="F57" s="2" t="n"/>
      <c r="G57" s="2" t="n"/>
      <c r="H57" s="2" t="n"/>
      <c r="I57" s="2" t="n"/>
      <c r="J57" s="2" t="n"/>
      <c r="K57" s="2" t="n"/>
      <c r="L57" s="2" t="n"/>
    </row>
    <row r="58">
      <c r="A58" s="2" t="n"/>
      <c r="B58" s="2" t="n"/>
      <c r="C58" s="2" t="n"/>
      <c r="D58" s="2" t="n"/>
      <c r="E58" s="2" t="n"/>
      <c r="F58" s="2" t="n"/>
      <c r="G58" s="2" t="n"/>
      <c r="H58" s="2" t="n"/>
      <c r="I58" s="2" t="n"/>
      <c r="J58" s="2" t="n"/>
      <c r="K58" s="2" t="n"/>
      <c r="L58" s="2" t="n"/>
    </row>
    <row r="59">
      <c r="A59" s="2" t="n"/>
      <c r="B59" s="2" t="n"/>
      <c r="C59" s="2" t="n"/>
      <c r="D59" s="2" t="n"/>
      <c r="E59" s="2" t="n"/>
      <c r="F59" s="2" t="n"/>
      <c r="G59" s="2" t="n"/>
      <c r="H59" s="2" t="n"/>
      <c r="I59" s="2" t="n"/>
      <c r="J59" s="2" t="n"/>
      <c r="K59" s="2" t="n"/>
      <c r="L59" s="2" t="n"/>
    </row>
    <row r="60">
      <c r="A60" s="2" t="n"/>
      <c r="B60" s="2" t="n"/>
      <c r="C60" s="2" t="n"/>
      <c r="D60" s="2" t="n"/>
      <c r="E60" s="2" t="n"/>
      <c r="F60" s="2" t="n"/>
      <c r="G60" s="2" t="n"/>
      <c r="H60" s="2" t="n"/>
      <c r="I60" s="2" t="n"/>
      <c r="J60" s="2" t="n"/>
      <c r="K60" s="2" t="n"/>
      <c r="L60" s="2" t="n"/>
    </row>
    <row r="61">
      <c r="A61" s="2" t="n"/>
      <c r="B61" s="2" t="n"/>
      <c r="C61" s="2" t="n"/>
      <c r="D61" s="2" t="n"/>
      <c r="E61" s="2" t="n"/>
      <c r="F61" s="2" t="n"/>
      <c r="G61" s="2" t="n"/>
      <c r="H61" s="2" t="n"/>
      <c r="I61" s="2" t="n"/>
      <c r="J61" s="2" t="n"/>
      <c r="K61" s="2" t="n"/>
      <c r="L61" s="2" t="n"/>
    </row>
    <row r="62">
      <c r="A62" s="2" t="n"/>
      <c r="B62" s="2" t="n"/>
      <c r="C62" s="2" t="n"/>
      <c r="D62" s="2" t="n"/>
      <c r="E62" s="2" t="n"/>
      <c r="F62" s="2" t="n"/>
      <c r="G62" s="2" t="n"/>
      <c r="H62" s="2" t="n"/>
      <c r="I62" s="2" t="n"/>
      <c r="J62" s="2" t="n"/>
      <c r="K62" s="2" t="n"/>
      <c r="L62" s="2" t="n"/>
    </row>
    <row r="63">
      <c r="A63" s="2" t="n"/>
      <c r="B63" s="2" t="n"/>
      <c r="C63" s="2" t="n"/>
      <c r="D63" s="2" t="n"/>
      <c r="E63" s="2" t="n"/>
      <c r="F63" s="2" t="n"/>
      <c r="G63" s="2" t="n"/>
      <c r="H63" s="2" t="n"/>
      <c r="I63" s="2" t="n"/>
      <c r="J63" s="2" t="n"/>
      <c r="K63" s="2" t="n"/>
      <c r="L63" s="2" t="n"/>
    </row>
    <row r="64">
      <c r="A64" s="2" t="n"/>
      <c r="B64" s="2" t="n"/>
      <c r="C64" s="2" t="n"/>
      <c r="D64" s="2" t="n"/>
      <c r="E64" s="2" t="n"/>
      <c r="F64" s="2" t="n"/>
      <c r="G64" s="2" t="n"/>
      <c r="H64" s="2" t="n"/>
      <c r="I64" s="2" t="n"/>
      <c r="J64" s="2" t="n"/>
      <c r="K64" s="2" t="n"/>
      <c r="L64" s="2" t="n"/>
    </row>
    <row r="65">
      <c r="A65" s="2" t="n"/>
      <c r="B65" s="2" t="n"/>
      <c r="C65" s="2" t="n"/>
      <c r="D65" s="2" t="n"/>
      <c r="E65" s="2" t="n"/>
      <c r="F65" s="2" t="n"/>
      <c r="G65" s="2" t="n"/>
      <c r="H65" s="2" t="n"/>
      <c r="I65" s="2" t="n"/>
      <c r="J65" s="2" t="n"/>
      <c r="K65" s="2" t="n"/>
      <c r="L65" s="2" t="n"/>
    </row>
    <row r="66">
      <c r="A66" s="2" t="n"/>
      <c r="B66" s="2" t="n"/>
      <c r="C66" s="2" t="n"/>
      <c r="D66" s="2" t="n"/>
      <c r="E66" s="2" t="n"/>
      <c r="F66" s="2" t="n"/>
      <c r="G66" s="2" t="n"/>
      <c r="H66" s="2" t="n"/>
      <c r="I66" s="2" t="n"/>
      <c r="J66" s="2" t="n"/>
      <c r="K66" s="2" t="n"/>
      <c r="L66" s="2" t="n"/>
    </row>
    <row r="67">
      <c r="A67" s="2" t="n"/>
      <c r="B67" s="2" t="n"/>
      <c r="C67" s="2" t="n"/>
      <c r="D67" s="2" t="n"/>
      <c r="E67" s="2" t="n"/>
      <c r="F67" s="2" t="n"/>
      <c r="G67" s="2" t="n"/>
      <c r="H67" s="2" t="n"/>
      <c r="I67" s="2" t="n"/>
      <c r="J67" s="2" t="n"/>
      <c r="K67" s="2" t="n"/>
      <c r="L67" s="2" t="n"/>
    </row>
    <row r="68">
      <c r="A68" s="2" t="n"/>
      <c r="B68" s="2" t="n"/>
      <c r="C68" s="2" t="n"/>
      <c r="D68" s="2" t="n"/>
      <c r="E68" s="2" t="n"/>
      <c r="F68" s="2" t="n"/>
      <c r="G68" s="2" t="n"/>
      <c r="H68" s="2" t="n"/>
      <c r="I68" s="2" t="n"/>
      <c r="J68" s="2" t="n"/>
      <c r="K68" s="2" t="n"/>
      <c r="L68" s="2" t="n"/>
    </row>
    <row r="69">
      <c r="A69" s="2" t="n"/>
      <c r="B69" s="2" t="n"/>
      <c r="C69" s="2" t="n"/>
      <c r="D69" s="2" t="n"/>
      <c r="E69" s="2" t="n"/>
      <c r="F69" s="2" t="n"/>
      <c r="G69" s="2" t="n"/>
      <c r="H69" s="2" t="n"/>
      <c r="I69" s="2" t="n"/>
      <c r="J69" s="2" t="n"/>
      <c r="K69" s="2" t="n"/>
      <c r="L69" s="2" t="n"/>
    </row>
    <row r="70">
      <c r="A70" s="2" t="n"/>
      <c r="B70" s="2" t="n"/>
      <c r="C70" s="2" t="n"/>
      <c r="D70" s="2" t="n"/>
      <c r="E70" s="2" t="n"/>
      <c r="F70" s="2" t="n"/>
      <c r="G70" s="2" t="n"/>
      <c r="H70" s="2" t="n"/>
      <c r="I70" s="2" t="n"/>
      <c r="J70" s="2" t="n"/>
      <c r="K70" s="2" t="n"/>
      <c r="L70" s="2" t="n"/>
    </row>
    <row r="71">
      <c r="A71" s="2" t="n"/>
      <c r="B71" s="2" t="n"/>
      <c r="C71" s="2" t="n"/>
      <c r="D71" s="2" t="n"/>
      <c r="E71" s="2" t="n"/>
      <c r="F71" s="2" t="n"/>
      <c r="G71" s="2" t="n"/>
      <c r="H71" s="2" t="n"/>
      <c r="I71" s="2" t="n"/>
      <c r="J71" s="2" t="n"/>
      <c r="K71" s="2" t="n"/>
      <c r="L71" s="2" t="n"/>
    </row>
    <row r="72">
      <c r="A72" s="2" t="n"/>
      <c r="B72" s="2" t="n"/>
      <c r="C72" s="2" t="n"/>
      <c r="D72" s="2" t="n"/>
      <c r="E72" s="2" t="n"/>
      <c r="F72" s="2" t="n"/>
      <c r="G72" s="2" t="n"/>
      <c r="H72" s="2" t="n"/>
      <c r="I72" s="2" t="n"/>
      <c r="J72" s="2" t="n"/>
      <c r="K72" s="2" t="n"/>
      <c r="L72" s="2" t="n"/>
    </row>
    <row r="73">
      <c r="A73" s="2" t="n"/>
      <c r="B73" s="2" t="n"/>
      <c r="C73" s="2" t="n"/>
      <c r="D73" s="2" t="n"/>
      <c r="E73" s="2" t="n"/>
      <c r="F73" s="2" t="n"/>
      <c r="G73" s="2" t="n"/>
      <c r="H73" s="2" t="n"/>
      <c r="I73" s="2" t="n"/>
      <c r="J73" s="2" t="n"/>
      <c r="K73" s="2" t="n"/>
      <c r="L73" s="2" t="n"/>
    </row>
    <row r="74">
      <c r="A74" s="2" t="n"/>
      <c r="B74" s="2" t="n"/>
      <c r="C74" s="2" t="n"/>
      <c r="D74" s="2" t="n"/>
      <c r="E74" s="2" t="n"/>
      <c r="F74" s="2" t="n"/>
      <c r="G74" s="2" t="n"/>
      <c r="H74" s="2" t="n"/>
      <c r="I74" s="2" t="n"/>
      <c r="J74" s="2" t="n"/>
      <c r="K74" s="2" t="n"/>
      <c r="L74" s="2" t="n"/>
    </row>
    <row r="75">
      <c r="A75" s="2" t="n"/>
      <c r="B75" s="2" t="n"/>
      <c r="C75" s="2" t="n"/>
      <c r="D75" s="2" t="n"/>
      <c r="E75" s="2" t="n"/>
      <c r="F75" s="2" t="n"/>
      <c r="G75" s="2" t="n"/>
      <c r="H75" s="2" t="n"/>
      <c r="I75" s="2" t="n"/>
      <c r="J75" s="2" t="n"/>
      <c r="K75" s="2" t="n"/>
      <c r="L75" s="2" t="n"/>
    </row>
    <row r="76">
      <c r="A76" s="2" t="n"/>
      <c r="B76" s="2" t="n"/>
      <c r="C76" s="2" t="n"/>
      <c r="D76" s="2" t="n"/>
      <c r="E76" s="2" t="n"/>
      <c r="F76" s="2" t="n"/>
      <c r="G76" s="2" t="n"/>
      <c r="H76" s="2" t="n"/>
      <c r="I76" s="2" t="n"/>
      <c r="J76" s="2" t="n"/>
      <c r="K76" s="2" t="n"/>
      <c r="L76" s="2" t="n"/>
    </row>
    <row r="77">
      <c r="A77" s="2" t="n"/>
      <c r="B77" s="2" t="n"/>
      <c r="C77" s="2" t="n"/>
      <c r="D77" s="2" t="n"/>
      <c r="E77" s="2" t="n"/>
      <c r="F77" s="2" t="n"/>
      <c r="G77" s="2" t="n"/>
      <c r="H77" s="2" t="n"/>
      <c r="I77" s="2" t="n"/>
      <c r="J77" s="2" t="n"/>
      <c r="K77" s="2" t="n"/>
      <c r="L77" s="2" t="n"/>
    </row>
    <row r="78">
      <c r="A78" s="2" t="n"/>
      <c r="B78" s="2" t="n"/>
      <c r="C78" s="2" t="n"/>
      <c r="D78" s="2" t="n"/>
      <c r="E78" s="2" t="n"/>
      <c r="F78" s="2" t="n"/>
      <c r="G78" s="2" t="n"/>
      <c r="H78" s="2" t="n"/>
      <c r="I78" s="2" t="n"/>
      <c r="J78" s="2" t="n"/>
      <c r="K78" s="2" t="n"/>
      <c r="L78" s="2" t="n"/>
    </row>
    <row r="79">
      <c r="A79" s="2" t="n"/>
      <c r="B79" s="2" t="n"/>
      <c r="C79" s="2" t="n"/>
      <c r="D79" s="2" t="n"/>
      <c r="E79" s="2" t="n"/>
      <c r="F79" s="2" t="n"/>
      <c r="G79" s="2" t="n"/>
      <c r="H79" s="2" t="n"/>
      <c r="I79" s="2" t="n"/>
      <c r="J79" s="2" t="n"/>
      <c r="K79" s="2" t="n"/>
      <c r="L79" s="2" t="n"/>
    </row>
    <row r="80">
      <c r="A80" s="2" t="n"/>
      <c r="B80" s="2" t="n"/>
      <c r="C80" s="2" t="n"/>
      <c r="D80" s="2" t="n"/>
      <c r="E80" s="2" t="n"/>
      <c r="F80" s="2" t="n"/>
      <c r="G80" s="2" t="n"/>
      <c r="H80" s="2" t="n"/>
      <c r="I80" s="2" t="n"/>
      <c r="J80" s="2" t="n"/>
      <c r="K80" s="2" t="n"/>
      <c r="L80" s="2" t="n"/>
    </row>
  </sheetData>
  <mergeCells count="4">
    <mergeCell ref="A30:G30"/>
    <mergeCell ref="A23:G23"/>
    <mergeCell ref="A1:G1"/>
    <mergeCell ref="A15:G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0"/>
  <sheetViews>
    <sheetView workbookViewId="0">
      <pane ySplit="3" topLeftCell="A4" activePane="bottomLeft" state="frozen"/>
      <selection pane="bottomLeft" activeCell="A1" sqref="A1"/>
    </sheetView>
  </sheetViews>
  <sheetFormatPr baseColWidth="8" defaultRowHeight="15"/>
  <cols>
    <col width="22" customWidth="1" min="1" max="1"/>
    <col width="16" customWidth="1" min="2" max="2"/>
    <col width="20" customWidth="1" min="3" max="3"/>
    <col width="20" customWidth="1" min="4" max="4"/>
    <col width="24" customWidth="1" min="5" max="5"/>
    <col width="16" customWidth="1" min="6" max="6"/>
    <col width="16" customWidth="1" min="7" max="7"/>
  </cols>
  <sheetData>
    <row r="1">
      <c r="A1" s="32" t="inlineStr">
        <is>
          <t>【Sheet 3】 GB39 노이즈 여과 (Step2) &amp; 3D 직교 좌표계 (Step3)</t>
        </is>
      </c>
      <c r="B1" s="63" t="n"/>
      <c r="C1" s="63" t="n"/>
      <c r="D1" s="63" t="n"/>
      <c r="E1" s="63" t="n"/>
      <c r="F1" s="63" t="n"/>
      <c r="G1" s="64" t="n"/>
      <c r="H1" s="2" t="n"/>
      <c r="I1" s="2" t="n"/>
      <c r="J1" s="2" t="n"/>
      <c r="K1" s="2" t="n"/>
      <c r="L1" s="2" t="n"/>
    </row>
    <row r="2">
      <c r="A2" s="2" t="n"/>
      <c r="B2" s="2" t="n"/>
      <c r="C2" s="2" t="n"/>
      <c r="D2" s="2" t="n"/>
      <c r="E2" s="2" t="n"/>
      <c r="F2" s="2" t="n"/>
      <c r="G2" s="2" t="n"/>
      <c r="H2" s="2" t="n"/>
      <c r="I2" s="2" t="n"/>
      <c r="J2" s="2" t="n"/>
      <c r="K2" s="2" t="n"/>
      <c r="L2" s="2" t="n"/>
    </row>
    <row r="3">
      <c r="A3" s="33" t="inlineStr">
        <is>
          <t>Step 2 — 문헌적 노이즈 정밀 여과</t>
        </is>
      </c>
      <c r="B3" s="63" t="n"/>
      <c r="C3" s="63" t="n"/>
      <c r="D3" s="63" t="n"/>
      <c r="E3" s="63" t="n"/>
      <c r="F3" s="63" t="n"/>
      <c r="G3" s="64" t="n"/>
      <c r="H3" s="2" t="n"/>
      <c r="I3" s="2" t="n"/>
      <c r="J3" s="2" t="n"/>
      <c r="K3" s="2" t="n"/>
      <c r="L3" s="2" t="n"/>
    </row>
    <row r="4">
      <c r="A4" s="3" t="inlineStr">
        <is>
          <t>여과 항목</t>
        </is>
      </c>
      <c r="B4" s="3" t="inlineStr">
        <is>
          <t>여과 유형</t>
        </is>
      </c>
      <c r="C4" s="3" t="inlineStr">
        <is>
          <t>출전 문헌</t>
        </is>
      </c>
      <c r="D4" s="3" t="inlineStr">
        <is>
          <t>여과 근거</t>
        </is>
      </c>
      <c r="E4" s="3" t="inlineStr">
        <is>
          <t>처리 결과</t>
        </is>
      </c>
      <c r="F4" s="3" t="inlineStr">
        <is>
          <t>보존 여부</t>
        </is>
      </c>
      <c r="G4" s="3" t="inlineStr">
        <is>
          <t>비고</t>
        </is>
      </c>
      <c r="H4" s="2" t="n"/>
      <c r="I4" s="2" t="n"/>
      <c r="J4" s="2" t="n"/>
      <c r="K4" s="2" t="n"/>
      <c r="L4" s="2" t="n"/>
    </row>
    <row r="5">
      <c r="A5" s="25" t="inlineStr">
        <is>
          <t>髓會絶骨—골수질환 전주치</t>
        </is>
      </c>
      <c r="B5" s="12" t="inlineStr">
        <is>
          <t>팔회혈 이론 과확장</t>
        </is>
      </c>
      <c r="C5" s="12" t="inlineStr">
        <is>
          <t>여러 문헌</t>
        </is>
      </c>
      <c r="D5" s="12" t="inlineStr">
        <is>
          <t>팔회혈 이론 기반 관념 확장; 국소 골막 자극만 인정</t>
        </is>
      </c>
      <c r="E5" s="25" t="inlineStr">
        <is>
          <t>❌ 여과</t>
        </is>
      </c>
      <c r="F5" s="12" t="inlineStr">
        <is>
          <t>부분 인정 (골막 효과)</t>
        </is>
      </c>
      <c r="G5" s="12" t="inlineStr"/>
      <c r="H5" s="2" t="n"/>
      <c r="I5" s="2" t="n"/>
      <c r="J5" s="2" t="n"/>
      <c r="K5" s="2" t="n"/>
      <c r="L5" s="2" t="n"/>
    </row>
    <row r="6">
      <c r="A6" s="34" t="inlineStr">
        <is>
          <t>陽維脈 교회—全身 陽氣 통솔</t>
        </is>
      </c>
      <c r="B6" s="10" t="inlineStr">
        <is>
          <t>경락 이론 관념</t>
        </is>
      </c>
      <c r="C6" s="10" t="inlineStr">
        <is>
          <t>《침구대성》</t>
        </is>
      </c>
      <c r="D6" s="10" t="inlineStr">
        <is>
          <t>경락 이론 관념 기술</t>
        </is>
      </c>
      <c r="E6" s="34" t="inlineStr">
        <is>
          <t>❌ 여과</t>
        </is>
      </c>
      <c r="F6" s="10" t="inlineStr">
        <is>
          <t>없음</t>
        </is>
      </c>
      <c r="G6" s="10" t="inlineStr"/>
      <c r="H6" s="2" t="n"/>
      <c r="I6" s="2" t="n"/>
      <c r="J6" s="2" t="n"/>
      <c r="K6" s="2" t="n"/>
      <c r="L6" s="2" t="n"/>
    </row>
    <row r="7">
      <c r="A7" s="25" t="inlineStr">
        <is>
          <t>去風通絡, 强筋健骨</t>
        </is>
      </c>
      <c r="B7" s="12" t="inlineStr">
        <is>
          <t>과집적 관념 기술</t>
        </is>
      </c>
      <c r="C7" s="12" t="inlineStr">
        <is>
          <t>《침구대성》</t>
        </is>
      </c>
      <c r="D7" s="12" t="inlineStr">
        <is>
          <t>임상 실의학 근거 불충분</t>
        </is>
      </c>
      <c r="E7" s="25" t="inlineStr">
        <is>
          <t>❌ 여과</t>
        </is>
      </c>
      <c r="F7" s="12" t="inlineStr">
        <is>
          <t>없음</t>
        </is>
      </c>
      <c r="G7" s="12" t="inlineStr"/>
      <c r="H7" s="2" t="n"/>
      <c r="I7" s="2" t="n"/>
      <c r="J7" s="2" t="n"/>
      <c r="K7" s="2" t="n"/>
      <c r="L7" s="2" t="n"/>
    </row>
    <row r="8">
      <c r="A8" s="2" t="n"/>
      <c r="B8" s="2" t="n"/>
      <c r="C8" s="2" t="n"/>
      <c r="D8" s="2" t="n"/>
      <c r="E8" s="2" t="n"/>
      <c r="F8" s="2" t="n"/>
      <c r="G8" s="2" t="n"/>
      <c r="H8" s="2" t="n"/>
      <c r="I8" s="2" t="n"/>
      <c r="J8" s="2" t="n"/>
      <c r="K8" s="2" t="n"/>
      <c r="L8" s="2" t="n"/>
    </row>
    <row r="9">
      <c r="A9" s="28" t="inlineStr">
        <is>
          <t>P_single 단독 유효 효능 분리 결과</t>
        </is>
      </c>
      <c r="B9" s="63" t="n"/>
      <c r="C9" s="63" t="n"/>
      <c r="D9" s="63" t="n"/>
      <c r="E9" s="63" t="n"/>
      <c r="F9" s="63" t="n"/>
      <c r="G9" s="64" t="n"/>
      <c r="H9" s="2" t="n"/>
      <c r="I9" s="2" t="n"/>
      <c r="J9" s="2" t="n"/>
      <c r="K9" s="2" t="n"/>
      <c r="L9" s="2" t="n"/>
    </row>
    <row r="10">
      <c r="A10" s="3" t="inlineStr">
        <is>
          <t>주치증(고전)</t>
        </is>
      </c>
      <c r="B10" s="3" t="inlineStr">
        <is>
          <t>한국어</t>
        </is>
      </c>
      <c r="C10" s="3" t="inlineStr">
        <is>
          <t>단독/배오</t>
        </is>
      </c>
      <c r="D10" s="3" t="inlineStr">
        <is>
          <t>P_single 판정</t>
        </is>
      </c>
      <c r="E10" s="3" t="inlineStr">
        <is>
          <t>신경생리 기전</t>
        </is>
      </c>
      <c r="F10" s="3" t="inlineStr">
        <is>
          <t>임상 증거</t>
        </is>
      </c>
      <c r="G10" s="3" t="inlineStr">
        <is>
          <t>최종 잔류</t>
        </is>
      </c>
      <c r="H10" s="2" t="n"/>
      <c r="I10" s="2" t="n"/>
      <c r="J10" s="2" t="n"/>
      <c r="K10" s="2" t="n"/>
      <c r="L10" s="2" t="n"/>
    </row>
    <row r="11">
      <c r="A11" s="35" t="inlineStr">
        <is>
          <t>頸項强痛</t>
        </is>
      </c>
      <c r="B11" s="19" t="inlineStr">
        <is>
          <t>경항강통</t>
        </is>
      </c>
      <c r="C11" s="19" t="inlineStr">
        <is>
          <t>P_single</t>
        </is>
      </c>
      <c r="D11" s="36" t="inlineStr">
        <is>
          <t>✅ 단독 유효 — 핵심</t>
        </is>
      </c>
      <c r="E11" s="19" t="inlineStr">
        <is>
          <t>체성-체성 반사 (L4-S1→C3-C5)</t>
        </is>
      </c>
      <c r="F11" s="19" t="inlineStr">
        <is>
          <t>임상 RCT 다수 검증</t>
        </is>
      </c>
      <c r="G11" s="36" t="inlineStr">
        <is>
          <t>✅ 잔류</t>
        </is>
      </c>
      <c r="H11" s="2" t="n"/>
      <c r="I11" s="2" t="n"/>
      <c r="J11" s="2" t="n"/>
      <c r="K11" s="2" t="n"/>
      <c r="L11" s="2" t="n"/>
    </row>
    <row r="12">
      <c r="A12" s="35" t="inlineStr">
        <is>
          <t>落枕</t>
        </is>
      </c>
      <c r="B12" s="19" t="inlineStr">
        <is>
          <t>낙침 (급성 경부 근경직)</t>
        </is>
      </c>
      <c r="C12" s="19" t="inlineStr">
        <is>
          <t>P_single</t>
        </is>
      </c>
      <c r="D12" s="36" t="inlineStr">
        <is>
          <t>✅ 단독 유효</t>
        </is>
      </c>
      <c r="E12" s="19" t="inlineStr">
        <is>
          <t>원격 자침 — 비골신경 구심성 자극</t>
        </is>
      </c>
      <c r="F12" s="19" t="inlineStr">
        <is>
          <t>검증</t>
        </is>
      </c>
      <c r="G12" s="36" t="inlineStr">
        <is>
          <t>✅ 잔류</t>
        </is>
      </c>
      <c r="H12" s="2" t="n"/>
      <c r="I12" s="2" t="n"/>
      <c r="J12" s="2" t="n"/>
      <c r="K12" s="2" t="n"/>
      <c r="L12" s="2" t="n"/>
    </row>
    <row r="13">
      <c r="A13" s="35" t="inlineStr">
        <is>
          <t>下肢痿痺</t>
        </is>
      </c>
      <c r="B13" s="19" t="inlineStr">
        <is>
          <t>하지위비 (운동·감각 장애)</t>
        </is>
      </c>
      <c r="C13" s="19" t="inlineStr">
        <is>
          <t>P_single</t>
        </is>
      </c>
      <c r="D13" s="36" t="inlineStr">
        <is>
          <t>✅ 단독 유효</t>
        </is>
      </c>
      <c r="E13" s="19" t="inlineStr">
        <is>
          <t>浅腓骨神經 직접 자극</t>
        </is>
      </c>
      <c r="F13" s="19" t="inlineStr">
        <is>
          <t>국소 효과</t>
        </is>
      </c>
      <c r="G13" s="36" t="inlineStr">
        <is>
          <t>✅ 잔류</t>
        </is>
      </c>
      <c r="H13" s="2" t="n"/>
      <c r="I13" s="2" t="n"/>
      <c r="J13" s="2" t="n"/>
      <c r="K13" s="2" t="n"/>
      <c r="L13" s="2" t="n"/>
    </row>
    <row r="14">
      <c r="A14" s="35" t="inlineStr">
        <is>
          <t>足脛疼痛</t>
        </is>
      </c>
      <c r="B14" s="19" t="inlineStr">
        <is>
          <t>족경통</t>
        </is>
      </c>
      <c r="C14" s="19" t="inlineStr">
        <is>
          <t>P_single</t>
        </is>
      </c>
      <c r="D14" s="36" t="inlineStr">
        <is>
          <t>✅ 단독 유효</t>
        </is>
      </c>
      <c r="E14" s="19" t="inlineStr">
        <is>
          <t>분절 진통 L4-S1</t>
        </is>
      </c>
      <c r="F14" s="19" t="inlineStr">
        <is>
          <t>국소</t>
        </is>
      </c>
      <c r="G14" s="36" t="inlineStr">
        <is>
          <t>✅ 잔류</t>
        </is>
      </c>
      <c r="H14" s="2" t="n"/>
      <c r="I14" s="2" t="n"/>
      <c r="J14" s="2" t="n"/>
      <c r="K14" s="2" t="n"/>
      <c r="L14" s="2" t="n"/>
    </row>
    <row r="15">
      <c r="A15" s="23" t="inlineStr">
        <is>
          <t>脅肋疼痛</t>
        </is>
      </c>
      <c r="B15" s="12" t="inlineStr">
        <is>
          <t>협늑통</t>
        </is>
      </c>
      <c r="C15" s="12" t="inlineStr">
        <is>
          <t>배오 파생</t>
        </is>
      </c>
      <c r="D15" s="23" t="inlineStr">
        <is>
          <t>⚠️ 배오 의존</t>
        </is>
      </c>
      <c r="E15" s="12" t="inlineStr">
        <is>
          <t>陽陵泉 등 배오 필수</t>
        </is>
      </c>
      <c r="F15" s="12" t="inlineStr">
        <is>
          <t>—</t>
        </is>
      </c>
      <c r="G15" s="25" t="inlineStr">
        <is>
          <t>❌ 제외</t>
        </is>
      </c>
      <c r="H15" s="2" t="n"/>
      <c r="I15" s="2" t="n"/>
      <c r="J15" s="2" t="n"/>
      <c r="K15" s="2" t="n"/>
      <c r="L15" s="2" t="n"/>
    </row>
    <row r="16">
      <c r="A16" s="24" t="inlineStr">
        <is>
          <t>中風偏癱</t>
        </is>
      </c>
      <c r="B16" s="10" t="inlineStr">
        <is>
          <t>반신불수</t>
        </is>
      </c>
      <c r="C16" s="10" t="inlineStr">
        <is>
          <t>배오 파생</t>
        </is>
      </c>
      <c r="D16" s="24" t="inlineStr">
        <is>
          <t>⚠️ 배오 의존</t>
        </is>
      </c>
      <c r="E16" s="10" t="inlineStr">
        <is>
          <t>足三里 등 필수</t>
        </is>
      </c>
      <c r="F16" s="10" t="inlineStr">
        <is>
          <t>—</t>
        </is>
      </c>
      <c r="G16" s="34" t="inlineStr">
        <is>
          <t>❌ 제외</t>
        </is>
      </c>
      <c r="H16" s="2" t="n"/>
      <c r="I16" s="2" t="n"/>
      <c r="J16" s="2" t="n"/>
      <c r="K16" s="2" t="n"/>
      <c r="L16" s="2" t="n"/>
    </row>
    <row r="17">
      <c r="A17" s="37" t="inlineStr">
        <is>
          <t>骨髓疾患</t>
        </is>
      </c>
      <c r="B17" s="38" t="inlineStr">
        <is>
          <t>골수질환</t>
        </is>
      </c>
      <c r="C17" s="38" t="inlineStr">
        <is>
          <t>관념 이론</t>
        </is>
      </c>
      <c r="D17" s="39" t="inlineStr">
        <is>
          <t>❌ 여과</t>
        </is>
      </c>
      <c r="E17" s="38" t="inlineStr">
        <is>
          <t>髓會 이론 확장</t>
        </is>
      </c>
      <c r="F17" s="38" t="inlineStr">
        <is>
          <t>근거 불충분</t>
        </is>
      </c>
      <c r="G17" s="39" t="inlineStr">
        <is>
          <t>❌ 제외</t>
        </is>
      </c>
      <c r="H17" s="2" t="n"/>
      <c r="I17" s="2" t="n"/>
      <c r="J17" s="2" t="n"/>
      <c r="K17" s="2" t="n"/>
      <c r="L17" s="2" t="n"/>
    </row>
    <row r="18">
      <c r="A18" s="2" t="n"/>
      <c r="B18" s="2" t="n"/>
      <c r="C18" s="2" t="n"/>
      <c r="D18" s="2" t="n"/>
      <c r="E18" s="2" t="n"/>
      <c r="F18" s="2" t="n"/>
      <c r="G18" s="2" t="n"/>
      <c r="H18" s="2" t="n"/>
      <c r="I18" s="2" t="n"/>
      <c r="J18" s="2" t="n"/>
      <c r="K18" s="2" t="n"/>
      <c r="L18" s="2" t="n"/>
    </row>
    <row r="19">
      <c r="A19" s="15" t="inlineStr">
        <is>
          <t>Step 3 — 3D 직교 좌표계 산출 &amp; 고전 대 WHO 이탈 분석</t>
        </is>
      </c>
      <c r="B19" s="63" t="n"/>
      <c r="C19" s="63" t="n"/>
      <c r="D19" s="63" t="n"/>
      <c r="E19" s="63" t="n"/>
      <c r="F19" s="63" t="n"/>
      <c r="G19" s="64" t="n"/>
      <c r="H19" s="2" t="n"/>
      <c r="I19" s="2" t="n"/>
      <c r="J19" s="2" t="n"/>
      <c r="K19" s="2" t="n"/>
      <c r="L19" s="2" t="n"/>
    </row>
    <row r="20">
      <c r="A20" s="3" t="inlineStr">
        <is>
          <t>축</t>
        </is>
      </c>
      <c r="B20" s="3" t="inlineStr">
        <is>
          <t>정의</t>
        </is>
      </c>
      <c r="C20" s="3" t="inlineStr">
        <is>
          <t>GB39 고전 정위</t>
        </is>
      </c>
      <c r="D20" s="3" t="inlineStr">
        <is>
          <t>GB39 WHO 표준</t>
        </is>
      </c>
      <c r="E20" s="3" t="inlineStr">
        <is>
          <t>이탈 거리(Δ)</t>
        </is>
      </c>
      <c r="F20" s="3" t="inlineStr">
        <is>
          <t>분리 기준 적용</t>
        </is>
      </c>
      <c r="G20" s="3" t="inlineStr">
        <is>
          <t>판정</t>
        </is>
      </c>
      <c r="H20" s="2" t="n"/>
      <c r="I20" s="2" t="n"/>
      <c r="J20" s="2" t="n"/>
      <c r="K20" s="2" t="n"/>
      <c r="L20" s="2" t="n"/>
    </row>
    <row r="21">
      <c r="A21" s="40" t="inlineStr">
        <is>
          <t>Y축 (종축)</t>
        </is>
      </c>
      <c r="B21" s="12" t="inlineStr">
        <is>
          <t>외과첨 기준 하퇴 종축</t>
        </is>
      </c>
      <c r="C21" s="12" t="inlineStr">
        <is>
          <t>外踝上 3촌 = 약 69mm 근위</t>
        </is>
      </c>
      <c r="D21" s="12" t="inlineStr">
        <is>
          <t>외과첨 상방 3촌</t>
        </is>
      </c>
      <c r="E21" s="12" t="inlineStr">
        <is>
          <t>Δ=0</t>
        </is>
      </c>
      <c r="F21" s="12" t="inlineStr">
        <is>
          <t>동일</t>
        </is>
      </c>
      <c r="G21" s="13" t="inlineStr">
        <is>
          <t>단일 분석</t>
        </is>
      </c>
      <c r="H21" s="2" t="n"/>
      <c r="I21" s="2" t="n"/>
      <c r="J21" s="2" t="n"/>
      <c r="K21" s="2" t="n"/>
      <c r="L21" s="2" t="n"/>
    </row>
    <row r="22">
      <c r="A22" s="41" t="inlineStr">
        <is>
          <t>X축 (횡축)</t>
        </is>
      </c>
      <c r="B22" s="10" t="inlineStr">
        <is>
          <t>비골 전·후연 위치</t>
        </is>
      </c>
      <c r="C22" s="10" t="inlineStr">
        <is>
          <t>動脈 박동부 (비골 전연 내측 2–5mm)</t>
        </is>
      </c>
      <c r="D22" s="10" t="inlineStr">
        <is>
          <t>비골 전연(前緣)</t>
        </is>
      </c>
      <c r="E22" s="10" t="inlineStr">
        <is>
          <t>Δ≈0.3–0.5cm</t>
        </is>
      </c>
      <c r="F22" s="10" t="inlineStr">
        <is>
          <t>&lt; 1.5cm 기준</t>
        </is>
      </c>
      <c r="G22" s="11" t="inlineStr">
        <is>
          <t>단일 분석</t>
        </is>
      </c>
      <c r="H22" s="2" t="n"/>
      <c r="I22" s="2" t="n"/>
      <c r="J22" s="2" t="n"/>
      <c r="K22" s="2" t="n"/>
      <c r="L22" s="2" t="n"/>
    </row>
    <row r="23">
      <c r="A23" s="40" t="inlineStr">
        <is>
          <t>Z축 (심도)</t>
        </is>
      </c>
      <c r="B23" s="12" t="inlineStr">
        <is>
          <t>직자 방향 심도</t>
        </is>
      </c>
      <c r="C23" s="12" t="inlineStr">
        <is>
          <t>6푼=13.8mm (비골근 복부)</t>
        </is>
      </c>
      <c r="D23" s="12" t="inlineStr">
        <is>
          <t>5–8푼=11.5–18.4mm</t>
        </is>
      </c>
      <c r="E23" s="12" t="inlineStr">
        <is>
          <t>동일 범위</t>
        </is>
      </c>
      <c r="F23" s="12" t="inlineStr">
        <is>
          <t>동일</t>
        </is>
      </c>
      <c r="G23" s="13" t="inlineStr">
        <is>
          <t>단일 분석</t>
        </is>
      </c>
      <c r="H23" s="2" t="n"/>
      <c r="I23" s="2" t="n"/>
      <c r="J23" s="2" t="n"/>
      <c r="K23" s="2" t="n"/>
      <c r="L23" s="2" t="n"/>
    </row>
    <row r="24">
      <c r="A24" s="42" t="inlineStr">
        <is>
          <t>Step 3 판정: Δ_discrepancy ≈ 0.3~0.5cm &lt; R_candidate(1.5cm) → 단일 분석 유지. 고전 '動脈中' = 비골동맥 관통지가 WHO 비골 전연과 동일 해부학 공간 수렴.</t>
        </is>
      </c>
      <c r="B24" s="63" t="n"/>
      <c r="C24" s="63" t="n"/>
      <c r="D24" s="63" t="n"/>
      <c r="E24" s="63" t="n"/>
      <c r="F24" s="63" t="n"/>
      <c r="G24" s="64" t="n"/>
      <c r="H24" s="2" t="n"/>
      <c r="I24" s="2" t="n"/>
      <c r="J24" s="2" t="n"/>
      <c r="K24" s="2" t="n"/>
      <c r="L24" s="2" t="n"/>
    </row>
    <row r="25">
      <c r="A25" s="2" t="n"/>
      <c r="B25" s="2" t="n"/>
      <c r="C25" s="2" t="n"/>
      <c r="D25" s="2" t="n"/>
      <c r="E25" s="2" t="n"/>
      <c r="F25" s="2" t="n"/>
      <c r="G25" s="2" t="n"/>
      <c r="H25" s="2" t="n"/>
      <c r="I25" s="2" t="n"/>
      <c r="J25" s="2" t="n"/>
      <c r="K25" s="2" t="n"/>
      <c r="L25" s="2" t="n"/>
    </row>
    <row r="26">
      <c r="A26" s="2" t="n"/>
      <c r="B26" s="2" t="n"/>
      <c r="C26" s="2" t="n"/>
      <c r="D26" s="2" t="n"/>
      <c r="E26" s="2" t="n"/>
      <c r="F26" s="2" t="n"/>
      <c r="G26" s="2" t="n"/>
      <c r="H26" s="2" t="n"/>
      <c r="I26" s="2" t="n"/>
      <c r="J26" s="2" t="n"/>
      <c r="K26" s="2" t="n"/>
      <c r="L26" s="2" t="n"/>
    </row>
    <row r="27">
      <c r="A27" s="2" t="n"/>
      <c r="B27" s="2" t="n"/>
      <c r="C27" s="2" t="n"/>
      <c r="D27" s="2" t="n"/>
      <c r="E27" s="2" t="n"/>
      <c r="F27" s="2" t="n"/>
      <c r="G27" s="2" t="n"/>
      <c r="H27" s="2" t="n"/>
      <c r="I27" s="2" t="n"/>
      <c r="J27" s="2" t="n"/>
      <c r="K27" s="2" t="n"/>
      <c r="L27" s="2" t="n"/>
    </row>
    <row r="28">
      <c r="A28" s="2" t="n"/>
      <c r="B28" s="2" t="n"/>
      <c r="C28" s="2" t="n"/>
      <c r="D28" s="2" t="n"/>
      <c r="E28" s="2" t="n"/>
      <c r="F28" s="2" t="n"/>
      <c r="G28" s="2" t="n"/>
      <c r="H28" s="2" t="n"/>
      <c r="I28" s="2" t="n"/>
      <c r="J28" s="2" t="n"/>
      <c r="K28" s="2" t="n"/>
      <c r="L28" s="2" t="n"/>
    </row>
    <row r="29">
      <c r="A29" s="2" t="n"/>
      <c r="B29" s="2" t="n"/>
      <c r="C29" s="2" t="n"/>
      <c r="D29" s="2" t="n"/>
      <c r="E29" s="2" t="n"/>
      <c r="F29" s="2" t="n"/>
      <c r="G29" s="2" t="n"/>
      <c r="H29" s="2" t="n"/>
      <c r="I29" s="2" t="n"/>
      <c r="J29" s="2" t="n"/>
      <c r="K29" s="2" t="n"/>
      <c r="L29" s="2" t="n"/>
    </row>
    <row r="30">
      <c r="A30" s="2" t="n"/>
      <c r="B30" s="2" t="n"/>
      <c r="C30" s="2" t="n"/>
      <c r="D30" s="2" t="n"/>
      <c r="E30" s="2" t="n"/>
      <c r="F30" s="2" t="n"/>
      <c r="G30" s="2" t="n"/>
      <c r="H30" s="2" t="n"/>
      <c r="I30" s="2" t="n"/>
      <c r="J30" s="2" t="n"/>
      <c r="K30" s="2" t="n"/>
      <c r="L30" s="2" t="n"/>
    </row>
    <row r="31">
      <c r="A31" s="2" t="n"/>
      <c r="B31" s="2" t="n"/>
      <c r="C31" s="2" t="n"/>
      <c r="D31" s="2" t="n"/>
      <c r="E31" s="2" t="n"/>
      <c r="F31" s="2" t="n"/>
      <c r="G31" s="2" t="n"/>
      <c r="H31" s="2" t="n"/>
      <c r="I31" s="2" t="n"/>
      <c r="J31" s="2" t="n"/>
      <c r="K31" s="2" t="n"/>
      <c r="L31" s="2" t="n"/>
    </row>
    <row r="32">
      <c r="A32" s="2" t="n"/>
      <c r="B32" s="2" t="n"/>
      <c r="C32" s="2" t="n"/>
      <c r="D32" s="2" t="n"/>
      <c r="E32" s="2" t="n"/>
      <c r="F32" s="2" t="n"/>
      <c r="G32" s="2" t="n"/>
      <c r="H32" s="2" t="n"/>
      <c r="I32" s="2" t="n"/>
      <c r="J32" s="2" t="n"/>
      <c r="K32" s="2" t="n"/>
      <c r="L32" s="2" t="n"/>
    </row>
    <row r="33">
      <c r="A33" s="2" t="n"/>
      <c r="B33" s="2" t="n"/>
      <c r="C33" s="2" t="n"/>
      <c r="D33" s="2" t="n"/>
      <c r="E33" s="2" t="n"/>
      <c r="F33" s="2" t="n"/>
      <c r="G33" s="2" t="n"/>
      <c r="H33" s="2" t="n"/>
      <c r="I33" s="2" t="n"/>
      <c r="J33" s="2" t="n"/>
      <c r="K33" s="2" t="n"/>
      <c r="L33" s="2" t="n"/>
    </row>
    <row r="34">
      <c r="A34" s="2" t="n"/>
      <c r="B34" s="2" t="n"/>
      <c r="C34" s="2" t="n"/>
      <c r="D34" s="2" t="n"/>
      <c r="E34" s="2" t="n"/>
      <c r="F34" s="2" t="n"/>
      <c r="G34" s="2" t="n"/>
      <c r="H34" s="2" t="n"/>
      <c r="I34" s="2" t="n"/>
      <c r="J34" s="2" t="n"/>
      <c r="K34" s="2" t="n"/>
      <c r="L34" s="2" t="n"/>
    </row>
    <row r="35">
      <c r="A35" s="2" t="n"/>
      <c r="B35" s="2" t="n"/>
      <c r="C35" s="2" t="n"/>
      <c r="D35" s="2" t="n"/>
      <c r="E35" s="2" t="n"/>
      <c r="F35" s="2" t="n"/>
      <c r="G35" s="2" t="n"/>
      <c r="H35" s="2" t="n"/>
      <c r="I35" s="2" t="n"/>
      <c r="J35" s="2" t="n"/>
      <c r="K35" s="2" t="n"/>
      <c r="L35" s="2" t="n"/>
    </row>
    <row r="36">
      <c r="A36" s="2" t="n"/>
      <c r="B36" s="2" t="n"/>
      <c r="C36" s="2" t="n"/>
      <c r="D36" s="2" t="n"/>
      <c r="E36" s="2" t="n"/>
      <c r="F36" s="2" t="n"/>
      <c r="G36" s="2" t="n"/>
      <c r="H36" s="2" t="n"/>
      <c r="I36" s="2" t="n"/>
      <c r="J36" s="2" t="n"/>
      <c r="K36" s="2" t="n"/>
      <c r="L36" s="2" t="n"/>
    </row>
    <row r="37">
      <c r="A37" s="2" t="n"/>
      <c r="B37" s="2" t="n"/>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row r="41">
      <c r="A41" s="2" t="n"/>
      <c r="B41" s="2" t="n"/>
      <c r="C41" s="2" t="n"/>
      <c r="D41" s="2" t="n"/>
      <c r="E41" s="2" t="n"/>
      <c r="F41" s="2" t="n"/>
      <c r="G41" s="2" t="n"/>
      <c r="H41" s="2" t="n"/>
      <c r="I41" s="2" t="n"/>
      <c r="J41" s="2" t="n"/>
      <c r="K41" s="2" t="n"/>
      <c r="L41" s="2" t="n"/>
    </row>
    <row r="42">
      <c r="A42" s="2" t="n"/>
      <c r="B42" s="2" t="n"/>
      <c r="C42" s="2" t="n"/>
      <c r="D42" s="2" t="n"/>
      <c r="E42" s="2" t="n"/>
      <c r="F42" s="2" t="n"/>
      <c r="G42" s="2" t="n"/>
      <c r="H42" s="2" t="n"/>
      <c r="I42" s="2" t="n"/>
      <c r="J42" s="2" t="n"/>
      <c r="K42" s="2" t="n"/>
      <c r="L42" s="2" t="n"/>
    </row>
    <row r="43">
      <c r="A43" s="2" t="n"/>
      <c r="B43" s="2" t="n"/>
      <c r="C43" s="2" t="n"/>
      <c r="D43" s="2" t="n"/>
      <c r="E43" s="2" t="n"/>
      <c r="F43" s="2" t="n"/>
      <c r="G43" s="2" t="n"/>
      <c r="H43" s="2" t="n"/>
      <c r="I43" s="2" t="n"/>
      <c r="J43" s="2" t="n"/>
      <c r="K43" s="2" t="n"/>
      <c r="L43" s="2" t="n"/>
    </row>
    <row r="44">
      <c r="A44" s="2" t="n"/>
      <c r="B44" s="2" t="n"/>
      <c r="C44" s="2" t="n"/>
      <c r="D44" s="2" t="n"/>
      <c r="E44" s="2" t="n"/>
      <c r="F44" s="2" t="n"/>
      <c r="G44" s="2" t="n"/>
      <c r="H44" s="2" t="n"/>
      <c r="I44" s="2" t="n"/>
      <c r="J44" s="2" t="n"/>
      <c r="K44" s="2" t="n"/>
      <c r="L44" s="2" t="n"/>
    </row>
    <row r="45">
      <c r="A45" s="2" t="n"/>
      <c r="B45" s="2" t="n"/>
      <c r="C45" s="2" t="n"/>
      <c r="D45" s="2" t="n"/>
      <c r="E45" s="2" t="n"/>
      <c r="F45" s="2" t="n"/>
      <c r="G45" s="2" t="n"/>
      <c r="H45" s="2" t="n"/>
      <c r="I45" s="2" t="n"/>
      <c r="J45" s="2" t="n"/>
      <c r="K45" s="2" t="n"/>
      <c r="L45" s="2" t="n"/>
    </row>
    <row r="46">
      <c r="A46" s="2" t="n"/>
      <c r="B46" s="2" t="n"/>
      <c r="C46" s="2" t="n"/>
      <c r="D46" s="2" t="n"/>
      <c r="E46" s="2" t="n"/>
      <c r="F46" s="2" t="n"/>
      <c r="G46" s="2" t="n"/>
      <c r="H46" s="2" t="n"/>
      <c r="I46" s="2" t="n"/>
      <c r="J46" s="2" t="n"/>
      <c r="K46" s="2" t="n"/>
      <c r="L46" s="2" t="n"/>
    </row>
    <row r="47">
      <c r="A47" s="2" t="n"/>
      <c r="B47" s="2" t="n"/>
      <c r="C47" s="2" t="n"/>
      <c r="D47" s="2" t="n"/>
      <c r="E47" s="2" t="n"/>
      <c r="F47" s="2" t="n"/>
      <c r="G47" s="2" t="n"/>
      <c r="H47" s="2" t="n"/>
      <c r="I47" s="2" t="n"/>
      <c r="J47" s="2" t="n"/>
      <c r="K47" s="2" t="n"/>
      <c r="L47" s="2" t="n"/>
    </row>
    <row r="48">
      <c r="A48" s="2" t="n"/>
      <c r="B48" s="2" t="n"/>
      <c r="C48" s="2" t="n"/>
      <c r="D48" s="2" t="n"/>
      <c r="E48" s="2" t="n"/>
      <c r="F48" s="2" t="n"/>
      <c r="G48" s="2" t="n"/>
      <c r="H48" s="2" t="n"/>
      <c r="I48" s="2" t="n"/>
      <c r="J48" s="2" t="n"/>
      <c r="K48" s="2" t="n"/>
      <c r="L48" s="2" t="n"/>
    </row>
    <row r="49">
      <c r="A49" s="2" t="n"/>
      <c r="B49" s="2" t="n"/>
      <c r="C49" s="2" t="n"/>
      <c r="D49" s="2" t="n"/>
      <c r="E49" s="2" t="n"/>
      <c r="F49" s="2" t="n"/>
      <c r="G49" s="2" t="n"/>
      <c r="H49" s="2" t="n"/>
      <c r="I49" s="2" t="n"/>
      <c r="J49" s="2" t="n"/>
      <c r="K49" s="2" t="n"/>
      <c r="L49" s="2" t="n"/>
    </row>
    <row r="50">
      <c r="A50" s="2" t="n"/>
      <c r="B50" s="2" t="n"/>
      <c r="C50" s="2" t="n"/>
      <c r="D50" s="2" t="n"/>
      <c r="E50" s="2" t="n"/>
      <c r="F50" s="2" t="n"/>
      <c r="G50" s="2" t="n"/>
      <c r="H50" s="2" t="n"/>
      <c r="I50" s="2" t="n"/>
      <c r="J50" s="2" t="n"/>
      <c r="K50" s="2" t="n"/>
      <c r="L50" s="2" t="n"/>
    </row>
    <row r="51">
      <c r="A51" s="2" t="n"/>
      <c r="B51" s="2" t="n"/>
      <c r="C51" s="2" t="n"/>
      <c r="D51" s="2" t="n"/>
      <c r="E51" s="2" t="n"/>
      <c r="F51" s="2" t="n"/>
      <c r="G51" s="2" t="n"/>
      <c r="H51" s="2" t="n"/>
      <c r="I51" s="2" t="n"/>
      <c r="J51" s="2" t="n"/>
      <c r="K51" s="2" t="n"/>
      <c r="L51" s="2" t="n"/>
    </row>
    <row r="52">
      <c r="A52" s="2" t="n"/>
      <c r="B52" s="2" t="n"/>
      <c r="C52" s="2" t="n"/>
      <c r="D52" s="2" t="n"/>
      <c r="E52" s="2" t="n"/>
      <c r="F52" s="2" t="n"/>
      <c r="G52" s="2" t="n"/>
      <c r="H52" s="2" t="n"/>
      <c r="I52" s="2" t="n"/>
      <c r="J52" s="2" t="n"/>
      <c r="K52" s="2" t="n"/>
      <c r="L52" s="2" t="n"/>
    </row>
    <row r="53">
      <c r="A53" s="2" t="n"/>
      <c r="B53" s="2" t="n"/>
      <c r="C53" s="2" t="n"/>
      <c r="D53" s="2" t="n"/>
      <c r="E53" s="2" t="n"/>
      <c r="F53" s="2" t="n"/>
      <c r="G53" s="2" t="n"/>
      <c r="H53" s="2" t="n"/>
      <c r="I53" s="2" t="n"/>
      <c r="J53" s="2" t="n"/>
      <c r="K53" s="2" t="n"/>
      <c r="L53" s="2" t="n"/>
    </row>
    <row r="54">
      <c r="A54" s="2" t="n"/>
      <c r="B54" s="2" t="n"/>
      <c r="C54" s="2" t="n"/>
      <c r="D54" s="2" t="n"/>
      <c r="E54" s="2" t="n"/>
      <c r="F54" s="2" t="n"/>
      <c r="G54" s="2" t="n"/>
      <c r="H54" s="2" t="n"/>
      <c r="I54" s="2" t="n"/>
      <c r="J54" s="2" t="n"/>
      <c r="K54" s="2" t="n"/>
      <c r="L54" s="2" t="n"/>
    </row>
    <row r="55">
      <c r="A55" s="2" t="n"/>
      <c r="B55" s="2" t="n"/>
      <c r="C55" s="2" t="n"/>
      <c r="D55" s="2" t="n"/>
      <c r="E55" s="2" t="n"/>
      <c r="F55" s="2" t="n"/>
      <c r="G55" s="2" t="n"/>
      <c r="H55" s="2" t="n"/>
      <c r="I55" s="2" t="n"/>
      <c r="J55" s="2" t="n"/>
      <c r="K55" s="2" t="n"/>
      <c r="L55" s="2" t="n"/>
    </row>
    <row r="56">
      <c r="A56" s="2" t="n"/>
      <c r="B56" s="2" t="n"/>
      <c r="C56" s="2" t="n"/>
      <c r="D56" s="2" t="n"/>
      <c r="E56" s="2" t="n"/>
      <c r="F56" s="2" t="n"/>
      <c r="G56" s="2" t="n"/>
      <c r="H56" s="2" t="n"/>
      <c r="I56" s="2" t="n"/>
      <c r="J56" s="2" t="n"/>
      <c r="K56" s="2" t="n"/>
      <c r="L56" s="2" t="n"/>
    </row>
    <row r="57">
      <c r="A57" s="2" t="n"/>
      <c r="B57" s="2" t="n"/>
      <c r="C57" s="2" t="n"/>
      <c r="D57" s="2" t="n"/>
      <c r="E57" s="2" t="n"/>
      <c r="F57" s="2" t="n"/>
      <c r="G57" s="2" t="n"/>
      <c r="H57" s="2" t="n"/>
      <c r="I57" s="2" t="n"/>
      <c r="J57" s="2" t="n"/>
      <c r="K57" s="2" t="n"/>
      <c r="L57" s="2" t="n"/>
    </row>
    <row r="58">
      <c r="A58" s="2" t="n"/>
      <c r="B58" s="2" t="n"/>
      <c r="C58" s="2" t="n"/>
      <c r="D58" s="2" t="n"/>
      <c r="E58" s="2" t="n"/>
      <c r="F58" s="2" t="n"/>
      <c r="G58" s="2" t="n"/>
      <c r="H58" s="2" t="n"/>
      <c r="I58" s="2" t="n"/>
      <c r="J58" s="2" t="n"/>
      <c r="K58" s="2" t="n"/>
      <c r="L58" s="2" t="n"/>
    </row>
    <row r="59">
      <c r="A59" s="2" t="n"/>
      <c r="B59" s="2" t="n"/>
      <c r="C59" s="2" t="n"/>
      <c r="D59" s="2" t="n"/>
      <c r="E59" s="2" t="n"/>
      <c r="F59" s="2" t="n"/>
      <c r="G59" s="2" t="n"/>
      <c r="H59" s="2" t="n"/>
      <c r="I59" s="2" t="n"/>
      <c r="J59" s="2" t="n"/>
      <c r="K59" s="2" t="n"/>
      <c r="L59" s="2" t="n"/>
    </row>
    <row r="60">
      <c r="A60" s="2" t="n"/>
      <c r="B60" s="2" t="n"/>
      <c r="C60" s="2" t="n"/>
      <c r="D60" s="2" t="n"/>
      <c r="E60" s="2" t="n"/>
      <c r="F60" s="2" t="n"/>
      <c r="G60" s="2" t="n"/>
      <c r="H60" s="2" t="n"/>
      <c r="I60" s="2" t="n"/>
      <c r="J60" s="2" t="n"/>
      <c r="K60" s="2" t="n"/>
      <c r="L60" s="2" t="n"/>
    </row>
    <row r="61">
      <c r="A61" s="2" t="n"/>
      <c r="B61" s="2" t="n"/>
      <c r="C61" s="2" t="n"/>
      <c r="D61" s="2" t="n"/>
      <c r="E61" s="2" t="n"/>
      <c r="F61" s="2" t="n"/>
      <c r="G61" s="2" t="n"/>
      <c r="H61" s="2" t="n"/>
      <c r="I61" s="2" t="n"/>
      <c r="J61" s="2" t="n"/>
      <c r="K61" s="2" t="n"/>
      <c r="L61" s="2" t="n"/>
    </row>
    <row r="62">
      <c r="A62" s="2" t="n"/>
      <c r="B62" s="2" t="n"/>
      <c r="C62" s="2" t="n"/>
      <c r="D62" s="2" t="n"/>
      <c r="E62" s="2" t="n"/>
      <c r="F62" s="2" t="n"/>
      <c r="G62" s="2" t="n"/>
      <c r="H62" s="2" t="n"/>
      <c r="I62" s="2" t="n"/>
      <c r="J62" s="2" t="n"/>
      <c r="K62" s="2" t="n"/>
      <c r="L62" s="2" t="n"/>
    </row>
    <row r="63">
      <c r="A63" s="2" t="n"/>
      <c r="B63" s="2" t="n"/>
      <c r="C63" s="2" t="n"/>
      <c r="D63" s="2" t="n"/>
      <c r="E63" s="2" t="n"/>
      <c r="F63" s="2" t="n"/>
      <c r="G63" s="2" t="n"/>
      <c r="H63" s="2" t="n"/>
      <c r="I63" s="2" t="n"/>
      <c r="J63" s="2" t="n"/>
      <c r="K63" s="2" t="n"/>
      <c r="L63" s="2" t="n"/>
    </row>
    <row r="64">
      <c r="A64" s="2" t="n"/>
      <c r="B64" s="2" t="n"/>
      <c r="C64" s="2" t="n"/>
      <c r="D64" s="2" t="n"/>
      <c r="E64" s="2" t="n"/>
      <c r="F64" s="2" t="n"/>
      <c r="G64" s="2" t="n"/>
      <c r="H64" s="2" t="n"/>
      <c r="I64" s="2" t="n"/>
      <c r="J64" s="2" t="n"/>
      <c r="K64" s="2" t="n"/>
      <c r="L64" s="2" t="n"/>
    </row>
    <row r="65">
      <c r="A65" s="2" t="n"/>
      <c r="B65" s="2" t="n"/>
      <c r="C65" s="2" t="n"/>
      <c r="D65" s="2" t="n"/>
      <c r="E65" s="2" t="n"/>
      <c r="F65" s="2" t="n"/>
      <c r="G65" s="2" t="n"/>
      <c r="H65" s="2" t="n"/>
      <c r="I65" s="2" t="n"/>
      <c r="J65" s="2" t="n"/>
      <c r="K65" s="2" t="n"/>
      <c r="L65" s="2" t="n"/>
    </row>
    <row r="66">
      <c r="A66" s="2" t="n"/>
      <c r="B66" s="2" t="n"/>
      <c r="C66" s="2" t="n"/>
      <c r="D66" s="2" t="n"/>
      <c r="E66" s="2" t="n"/>
      <c r="F66" s="2" t="n"/>
      <c r="G66" s="2" t="n"/>
      <c r="H66" s="2" t="n"/>
      <c r="I66" s="2" t="n"/>
      <c r="J66" s="2" t="n"/>
      <c r="K66" s="2" t="n"/>
      <c r="L66" s="2" t="n"/>
    </row>
    <row r="67">
      <c r="A67" s="2" t="n"/>
      <c r="B67" s="2" t="n"/>
      <c r="C67" s="2" t="n"/>
      <c r="D67" s="2" t="n"/>
      <c r="E67" s="2" t="n"/>
      <c r="F67" s="2" t="n"/>
      <c r="G67" s="2" t="n"/>
      <c r="H67" s="2" t="n"/>
      <c r="I67" s="2" t="n"/>
      <c r="J67" s="2" t="n"/>
      <c r="K67" s="2" t="n"/>
      <c r="L67" s="2" t="n"/>
    </row>
    <row r="68">
      <c r="A68" s="2" t="n"/>
      <c r="B68" s="2" t="n"/>
      <c r="C68" s="2" t="n"/>
      <c r="D68" s="2" t="n"/>
      <c r="E68" s="2" t="n"/>
      <c r="F68" s="2" t="n"/>
      <c r="G68" s="2" t="n"/>
      <c r="H68" s="2" t="n"/>
      <c r="I68" s="2" t="n"/>
      <c r="J68" s="2" t="n"/>
      <c r="K68" s="2" t="n"/>
      <c r="L68" s="2" t="n"/>
    </row>
    <row r="69">
      <c r="A69" s="2" t="n"/>
      <c r="B69" s="2" t="n"/>
      <c r="C69" s="2" t="n"/>
      <c r="D69" s="2" t="n"/>
      <c r="E69" s="2" t="n"/>
      <c r="F69" s="2" t="n"/>
      <c r="G69" s="2" t="n"/>
      <c r="H69" s="2" t="n"/>
      <c r="I69" s="2" t="n"/>
      <c r="J69" s="2" t="n"/>
      <c r="K69" s="2" t="n"/>
      <c r="L69" s="2" t="n"/>
    </row>
    <row r="70">
      <c r="A70" s="2" t="n"/>
      <c r="B70" s="2" t="n"/>
      <c r="C70" s="2" t="n"/>
      <c r="D70" s="2" t="n"/>
      <c r="E70" s="2" t="n"/>
      <c r="F70" s="2" t="n"/>
      <c r="G70" s="2" t="n"/>
      <c r="H70" s="2" t="n"/>
      <c r="I70" s="2" t="n"/>
      <c r="J70" s="2" t="n"/>
      <c r="K70" s="2" t="n"/>
      <c r="L70" s="2" t="n"/>
    </row>
    <row r="71">
      <c r="A71" s="2" t="n"/>
      <c r="B71" s="2" t="n"/>
      <c r="C71" s="2" t="n"/>
      <c r="D71" s="2" t="n"/>
      <c r="E71" s="2" t="n"/>
      <c r="F71" s="2" t="n"/>
      <c r="G71" s="2" t="n"/>
      <c r="H71" s="2" t="n"/>
      <c r="I71" s="2" t="n"/>
      <c r="J71" s="2" t="n"/>
      <c r="K71" s="2" t="n"/>
      <c r="L71" s="2" t="n"/>
    </row>
    <row r="72">
      <c r="A72" s="2" t="n"/>
      <c r="B72" s="2" t="n"/>
      <c r="C72" s="2" t="n"/>
      <c r="D72" s="2" t="n"/>
      <c r="E72" s="2" t="n"/>
      <c r="F72" s="2" t="n"/>
      <c r="G72" s="2" t="n"/>
      <c r="H72" s="2" t="n"/>
      <c r="I72" s="2" t="n"/>
      <c r="J72" s="2" t="n"/>
      <c r="K72" s="2" t="n"/>
      <c r="L72" s="2" t="n"/>
    </row>
    <row r="73">
      <c r="A73" s="2" t="n"/>
      <c r="B73" s="2" t="n"/>
      <c r="C73" s="2" t="n"/>
      <c r="D73" s="2" t="n"/>
      <c r="E73" s="2" t="n"/>
      <c r="F73" s="2" t="n"/>
      <c r="G73" s="2" t="n"/>
      <c r="H73" s="2" t="n"/>
      <c r="I73" s="2" t="n"/>
      <c r="J73" s="2" t="n"/>
      <c r="K73" s="2" t="n"/>
      <c r="L73" s="2" t="n"/>
    </row>
    <row r="74">
      <c r="A74" s="2" t="n"/>
      <c r="B74" s="2" t="n"/>
      <c r="C74" s="2" t="n"/>
      <c r="D74" s="2" t="n"/>
      <c r="E74" s="2" t="n"/>
      <c r="F74" s="2" t="n"/>
      <c r="G74" s="2" t="n"/>
      <c r="H74" s="2" t="n"/>
      <c r="I74" s="2" t="n"/>
      <c r="J74" s="2" t="n"/>
      <c r="K74" s="2" t="n"/>
      <c r="L74" s="2" t="n"/>
    </row>
    <row r="75">
      <c r="A75" s="2" t="n"/>
      <c r="B75" s="2" t="n"/>
      <c r="C75" s="2" t="n"/>
      <c r="D75" s="2" t="n"/>
      <c r="E75" s="2" t="n"/>
      <c r="F75" s="2" t="n"/>
      <c r="G75" s="2" t="n"/>
      <c r="H75" s="2" t="n"/>
      <c r="I75" s="2" t="n"/>
      <c r="J75" s="2" t="n"/>
      <c r="K75" s="2" t="n"/>
      <c r="L75" s="2" t="n"/>
    </row>
    <row r="76">
      <c r="A76" s="2" t="n"/>
      <c r="B76" s="2" t="n"/>
      <c r="C76" s="2" t="n"/>
      <c r="D76" s="2" t="n"/>
      <c r="E76" s="2" t="n"/>
      <c r="F76" s="2" t="n"/>
      <c r="G76" s="2" t="n"/>
      <c r="H76" s="2" t="n"/>
      <c r="I76" s="2" t="n"/>
      <c r="J76" s="2" t="n"/>
      <c r="K76" s="2" t="n"/>
      <c r="L76" s="2" t="n"/>
    </row>
    <row r="77">
      <c r="A77" s="2" t="n"/>
      <c r="B77" s="2" t="n"/>
      <c r="C77" s="2" t="n"/>
      <c r="D77" s="2" t="n"/>
      <c r="E77" s="2" t="n"/>
      <c r="F77" s="2" t="n"/>
      <c r="G77" s="2" t="n"/>
      <c r="H77" s="2" t="n"/>
      <c r="I77" s="2" t="n"/>
      <c r="J77" s="2" t="n"/>
      <c r="K77" s="2" t="n"/>
      <c r="L77" s="2" t="n"/>
    </row>
    <row r="78">
      <c r="A78" s="2" t="n"/>
      <c r="B78" s="2" t="n"/>
      <c r="C78" s="2" t="n"/>
      <c r="D78" s="2" t="n"/>
      <c r="E78" s="2" t="n"/>
      <c r="F78" s="2" t="n"/>
      <c r="G78" s="2" t="n"/>
      <c r="H78" s="2" t="n"/>
      <c r="I78" s="2" t="n"/>
      <c r="J78" s="2" t="n"/>
      <c r="K78" s="2" t="n"/>
      <c r="L78" s="2" t="n"/>
    </row>
    <row r="79">
      <c r="A79" s="2" t="n"/>
      <c r="B79" s="2" t="n"/>
      <c r="C79" s="2" t="n"/>
      <c r="D79" s="2" t="n"/>
      <c r="E79" s="2" t="n"/>
      <c r="F79" s="2" t="n"/>
      <c r="G79" s="2" t="n"/>
      <c r="H79" s="2" t="n"/>
      <c r="I79" s="2" t="n"/>
      <c r="J79" s="2" t="n"/>
      <c r="K79" s="2" t="n"/>
      <c r="L79" s="2" t="n"/>
    </row>
    <row r="80">
      <c r="A80" s="2" t="n"/>
      <c r="B80" s="2" t="n"/>
      <c r="C80" s="2" t="n"/>
      <c r="D80" s="2" t="n"/>
      <c r="E80" s="2" t="n"/>
      <c r="F80" s="2" t="n"/>
      <c r="G80" s="2" t="n"/>
      <c r="H80" s="2" t="n"/>
      <c r="I80" s="2" t="n"/>
      <c r="J80" s="2" t="n"/>
      <c r="K80" s="2" t="n"/>
      <c r="L80" s="2" t="n"/>
    </row>
  </sheetData>
  <mergeCells count="5">
    <mergeCell ref="A1:G1"/>
    <mergeCell ref="A9:G9"/>
    <mergeCell ref="A3:G3"/>
    <mergeCell ref="A24:G24"/>
    <mergeCell ref="A19:G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0"/>
  <sheetViews>
    <sheetView workbookViewId="0">
      <pane ySplit="3" topLeftCell="A4" activePane="bottomLeft" state="frozen"/>
      <selection pane="bottomLeft" activeCell="A1" sqref="A1"/>
    </sheetView>
  </sheetViews>
  <sheetFormatPr baseColWidth="8" defaultRowHeight="15"/>
  <cols>
    <col width="24" customWidth="1" min="1" max="1"/>
    <col width="12" customWidth="1" min="2" max="2"/>
    <col width="14" customWidth="1" min="3" max="3"/>
    <col width="16" customWidth="1" min="4" max="4"/>
    <col width="24" customWidth="1" min="5" max="5"/>
    <col width="18" customWidth="1" min="6" max="6"/>
    <col width="16" customWidth="1" min="7" max="7"/>
  </cols>
  <sheetData>
    <row r="1">
      <c r="A1" s="43" t="inlineStr">
        <is>
          <t>【Sheet 4】 GB39 자침 심도 통계 &amp; 직자 삼각법 수식 적용 (Step4)</t>
        </is>
      </c>
      <c r="B1" s="63" t="n"/>
      <c r="C1" s="63" t="n"/>
      <c r="D1" s="63" t="n"/>
      <c r="E1" s="63" t="n"/>
      <c r="F1" s="63" t="n"/>
      <c r="G1" s="64" t="n"/>
      <c r="H1" s="2" t="n"/>
      <c r="I1" s="2" t="n"/>
      <c r="J1" s="2" t="n"/>
      <c r="K1" s="2" t="n"/>
      <c r="L1" s="2" t="n"/>
    </row>
    <row r="2">
      <c r="A2" s="2" t="n"/>
      <c r="B2" s="2" t="n"/>
      <c r="C2" s="2" t="n"/>
      <c r="D2" s="2" t="n"/>
      <c r="E2" s="2" t="n"/>
      <c r="F2" s="2" t="n"/>
      <c r="G2" s="2" t="n"/>
      <c r="H2" s="2" t="n"/>
      <c r="I2" s="2" t="n"/>
      <c r="J2" s="2" t="n"/>
      <c r="K2" s="2" t="n"/>
      <c r="L2" s="2" t="n"/>
    </row>
    <row r="3">
      <c r="A3" s="44" t="inlineStr">
        <is>
          <t>직자(直刺) 삼각법: z_vertical = L_path × sin(θ=90°) = L_path</t>
        </is>
      </c>
      <c r="B3" s="63" t="n"/>
      <c r="C3" s="63" t="n"/>
      <c r="D3" s="63" t="n"/>
      <c r="E3" s="63" t="n"/>
      <c r="F3" s="63" t="n"/>
      <c r="G3" s="64" t="n"/>
      <c r="H3" s="2" t="n"/>
      <c r="I3" s="2" t="n"/>
      <c r="J3" s="2" t="n"/>
      <c r="K3" s="2" t="n"/>
      <c r="L3" s="2" t="n"/>
    </row>
    <row r="4">
      <c r="A4" s="3" t="inlineStr">
        <is>
          <t>자침법</t>
        </is>
      </c>
      <c r="B4" s="3" t="inlineStr">
        <is>
          <t>각도(θ)</t>
        </is>
      </c>
      <c r="C4" s="3" t="inlineStr">
        <is>
          <t>경로길이(L_path)</t>
        </is>
      </c>
      <c r="D4" s="3" t="inlineStr">
        <is>
          <t>수직심도(z_vert)</t>
        </is>
      </c>
      <c r="E4" s="3" t="inlineStr">
        <is>
          <t>도달 Layer</t>
        </is>
      </c>
      <c r="F4" s="3" t="inlineStr">
        <is>
          <t>안전도</t>
        </is>
      </c>
      <c r="G4" s="3" t="inlineStr">
        <is>
          <t>비고</t>
        </is>
      </c>
      <c r="H4" s="2" t="n"/>
      <c r="I4" s="2" t="n"/>
      <c r="J4" s="2" t="n"/>
      <c r="K4" s="2" t="n"/>
      <c r="L4" s="2" t="n"/>
    </row>
    <row r="5">
      <c r="A5" s="23" t="inlineStr">
        <is>
          <t>직자 — 현대 최소 (5푼)</t>
        </is>
      </c>
      <c r="B5" s="12" t="inlineStr">
        <is>
          <t>90°</t>
        </is>
      </c>
      <c r="C5" s="12" t="inlineStr">
        <is>
          <t>11.5mm</t>
        </is>
      </c>
      <c r="D5" s="12" t="inlineStr">
        <is>
          <t>11.5mm</t>
        </is>
      </c>
      <c r="E5" s="12" t="inlineStr">
        <is>
          <t>Layer 2–3 (비골근 표층)</t>
        </is>
      </c>
      <c r="F5" s="13" t="inlineStr">
        <is>
          <t>✅ 안전</t>
        </is>
      </c>
      <c r="G5" s="12" t="inlineStr"/>
      <c r="H5" s="2" t="n"/>
      <c r="I5" s="2" t="n"/>
      <c r="J5" s="2" t="n"/>
      <c r="K5" s="2" t="n"/>
      <c r="L5" s="2" t="n"/>
    </row>
    <row r="6">
      <c r="A6" s="45" t="inlineStr">
        <is>
          <t>직자 — 고전 표준 (6푼)</t>
        </is>
      </c>
      <c r="B6" s="19" t="inlineStr">
        <is>
          <t>90°</t>
        </is>
      </c>
      <c r="C6" s="19" t="inlineStr">
        <is>
          <t>13.8mm</t>
        </is>
      </c>
      <c r="D6" s="27" t="inlineStr">
        <is>
          <t>13.8mm</t>
        </is>
      </c>
      <c r="E6" s="19" t="inlineStr">
        <is>
          <t>Layer 3 (浅腓骨神經 + 비골동맥 관통지)</t>
        </is>
      </c>
      <c r="F6" s="36" t="inlineStr">
        <is>
          <t>✅ 안전</t>
        </is>
      </c>
      <c r="G6" s="19" t="inlineStr">
        <is>
          <t>★ 고전 4문헌 일치 기준값</t>
        </is>
      </c>
      <c r="H6" s="2" t="n"/>
      <c r="I6" s="2" t="n"/>
      <c r="J6" s="2" t="n"/>
      <c r="K6" s="2" t="n"/>
      <c r="L6" s="2" t="n"/>
    </row>
    <row r="7">
      <c r="A7" s="23" t="inlineStr">
        <is>
          <t>직자 — 현대 최대 (8푼)</t>
        </is>
      </c>
      <c r="B7" s="12" t="inlineStr">
        <is>
          <t>90°</t>
        </is>
      </c>
      <c r="C7" s="12" t="inlineStr">
        <is>
          <t>18.4mm</t>
        </is>
      </c>
      <c r="D7" s="12" t="inlineStr">
        <is>
          <t>18.4mm</t>
        </is>
      </c>
      <c r="E7" s="12" t="inlineStr">
        <is>
          <t>Layer 4 (비골 골막 — 髓會 해부 기반)</t>
        </is>
      </c>
      <c r="F7" s="23" t="inlineStr">
        <is>
          <t>⚠️ 골막 도달</t>
        </is>
      </c>
      <c r="G7" s="12" t="inlineStr">
        <is>
          <t>비골 피질골 관통 금지</t>
        </is>
      </c>
      <c r="H7" s="2" t="n"/>
      <c r="I7" s="2" t="n"/>
      <c r="J7" s="2" t="n"/>
      <c r="K7" s="2" t="n"/>
      <c r="L7" s="2" t="n"/>
    </row>
    <row r="8">
      <c r="A8" s="2" t="n"/>
      <c r="B8" s="2" t="n"/>
      <c r="C8" s="2" t="n"/>
      <c r="D8" s="2" t="n"/>
      <c r="E8" s="2" t="n"/>
      <c r="F8" s="2" t="n"/>
      <c r="G8" s="2" t="n"/>
      <c r="H8" s="2" t="n"/>
      <c r="I8" s="2" t="n"/>
      <c r="J8" s="2" t="n"/>
      <c r="K8" s="2" t="n"/>
      <c r="L8" s="2" t="n"/>
    </row>
    <row r="9">
      <c r="A9" s="15" t="inlineStr">
        <is>
          <t>체표 하부 조직 층위 탐색 (Layer 1–5)</t>
        </is>
      </c>
      <c r="B9" s="63" t="n"/>
      <c r="C9" s="63" t="n"/>
      <c r="D9" s="63" t="n"/>
      <c r="E9" s="63" t="n"/>
      <c r="F9" s="63" t="n"/>
      <c r="G9" s="64" t="n"/>
      <c r="H9" s="2" t="n"/>
      <c r="I9" s="2" t="n"/>
      <c r="J9" s="2" t="n"/>
      <c r="K9" s="2" t="n"/>
      <c r="L9" s="2" t="n"/>
    </row>
    <row r="10">
      <c r="A10" s="3" t="inlineStr">
        <is>
          <t>Layer</t>
        </is>
      </c>
      <c r="B10" s="3" t="inlineStr">
        <is>
          <t>조직</t>
        </is>
      </c>
      <c r="C10" s="3" t="inlineStr">
        <is>
          <t>깊이(직자 수직)</t>
        </is>
      </c>
      <c r="D10" s="3" t="inlineStr">
        <is>
          <t>GB39 해당 구조</t>
        </is>
      </c>
      <c r="E10" s="3" t="inlineStr">
        <is>
          <t>자침 관련성</t>
        </is>
      </c>
      <c r="F10" s="3" t="inlineStr">
        <is>
          <t>중요도</t>
        </is>
      </c>
      <c r="G10" s="3" t="inlineStr">
        <is>
          <t>비고</t>
        </is>
      </c>
      <c r="H10" s="2" t="n"/>
      <c r="I10" s="2" t="n"/>
      <c r="J10" s="2" t="n"/>
      <c r="K10" s="2" t="n"/>
      <c r="L10" s="2" t="n"/>
    </row>
    <row r="11">
      <c r="A11" s="46" t="inlineStr">
        <is>
          <t>Layer 1</t>
        </is>
      </c>
      <c r="B11" s="12" t="inlineStr">
        <is>
          <t>피부 + 피하지방</t>
        </is>
      </c>
      <c r="C11" s="12" t="inlineStr">
        <is>
          <t>0–3mm</t>
        </is>
      </c>
      <c r="D11" s="12" t="inlineStr">
        <is>
          <t>하퇴 외측 피부</t>
        </is>
      </c>
      <c r="E11" s="46" t="inlineStr">
        <is>
          <t>入針 시작</t>
        </is>
      </c>
      <c r="F11" s="12" t="inlineStr">
        <is>
          <t>—</t>
        </is>
      </c>
      <c r="G11" s="12" t="inlineStr"/>
      <c r="H11" s="2" t="n"/>
      <c r="I11" s="2" t="n"/>
      <c r="J11" s="2" t="n"/>
      <c r="K11" s="2" t="n"/>
      <c r="L11" s="2" t="n"/>
    </row>
    <row r="12">
      <c r="A12" s="47" t="inlineStr">
        <is>
          <t>Layer 2</t>
        </is>
      </c>
      <c r="B12" s="10" t="inlineStr">
        <is>
          <t>심부 근막 (Deep fascia)</t>
        </is>
      </c>
      <c r="C12" s="10" t="inlineStr">
        <is>
          <t>3–6mm</t>
        </is>
      </c>
      <c r="D12" s="10" t="inlineStr">
        <is>
          <t>하퇴 심부 근막</t>
        </is>
      </c>
      <c r="E12" s="47" t="inlineStr">
        <is>
          <t>통과층</t>
        </is>
      </c>
      <c r="F12" s="10" t="inlineStr">
        <is>
          <t>—</t>
        </is>
      </c>
      <c r="G12" s="10" t="inlineStr"/>
      <c r="H12" s="2" t="n"/>
      <c r="I12" s="2" t="n"/>
      <c r="J12" s="2" t="n"/>
      <c r="K12" s="2" t="n"/>
      <c r="L12" s="2" t="n"/>
    </row>
    <row r="13">
      <c r="A13" s="48" t="inlineStr">
        <is>
          <t>Layer 3 ★</t>
        </is>
      </c>
      <c r="B13" s="49" t="inlineStr">
        <is>
          <t>비골단근·비골장근 (Fibularis brevis/longus)</t>
        </is>
      </c>
      <c r="C13" s="49" t="inlineStr">
        <is>
          <t>6–14mm</t>
        </is>
      </c>
      <c r="D13" s="50" t="inlineStr">
        <is>
          <t>핵심 근육 자극 Target</t>
        </is>
      </c>
      <c r="E13" s="51" t="inlineStr">
        <is>
          <t>★★★ 최우선</t>
        </is>
      </c>
      <c r="F13" s="49" t="inlineStr">
        <is>
          <t>최고</t>
        </is>
      </c>
      <c r="G13" s="49" t="inlineStr"/>
      <c r="H13" s="2" t="n"/>
      <c r="I13" s="2" t="n"/>
      <c r="J13" s="2" t="n"/>
      <c r="K13" s="2" t="n"/>
      <c r="L13" s="2" t="n"/>
    </row>
    <row r="14">
      <c r="A14" s="27" t="inlineStr">
        <is>
          <t>Layer 3b ★★</t>
        </is>
      </c>
      <c r="B14" s="19" t="inlineStr">
        <is>
          <t>浅腓骨神經 출현 전환 구역</t>
        </is>
      </c>
      <c r="C14" s="19" t="inlineStr">
        <is>
          <t>~10–14mm</t>
        </is>
      </c>
      <c r="D14" s="52" t="inlineStr">
        <is>
          <t>주 신경 자극 Target (L4-S1)</t>
        </is>
      </c>
      <c r="E14" s="36" t="inlineStr">
        <is>
          <t>★★★ 핵심</t>
        </is>
      </c>
      <c r="F14" s="19" t="inlineStr">
        <is>
          <t>최고</t>
        </is>
      </c>
      <c r="G14" s="19" t="inlineStr">
        <is>
          <t>체성-체성 반사 구심로</t>
        </is>
      </c>
      <c r="H14" s="2" t="n"/>
      <c r="I14" s="2" t="n"/>
      <c r="J14" s="2" t="n"/>
      <c r="K14" s="2" t="n"/>
      <c r="L14" s="2" t="n"/>
    </row>
    <row r="15">
      <c r="A15" s="46" t="inlineStr">
        <is>
          <t>Layer 4</t>
        </is>
      </c>
      <c r="B15" s="12" t="inlineStr">
        <is>
          <t>비골 골막 (Fibula periosteum)</t>
        </is>
      </c>
      <c r="C15" s="12" t="inlineStr">
        <is>
          <t>14–18mm</t>
        </is>
      </c>
      <c r="D15" s="12" t="inlineStr">
        <is>
          <t>骨막 — 髓會 해부 기반</t>
        </is>
      </c>
      <c r="E15" s="23" t="inlineStr">
        <is>
          <t>⚠️ 8푼 접근</t>
        </is>
      </c>
      <c r="F15" s="12" t="inlineStr">
        <is>
          <t>주의</t>
        </is>
      </c>
      <c r="G15" s="12" t="inlineStr"/>
      <c r="H15" s="2" t="n"/>
      <c r="I15" s="2" t="n"/>
      <c r="J15" s="2" t="n"/>
      <c r="K15" s="2" t="n"/>
      <c r="L15" s="2" t="n"/>
    </row>
    <row r="16">
      <c r="A16" s="47" t="inlineStr">
        <is>
          <t>Layer 5</t>
        </is>
      </c>
      <c r="B16" s="10" t="inlineStr">
        <is>
          <t>비골 피질골 (Fibula cortex)</t>
        </is>
      </c>
      <c r="C16" s="10" t="inlineStr">
        <is>
          <t>18mm+</t>
        </is>
      </c>
      <c r="D16" s="10" t="inlineStr">
        <is>
          <t>피질골</t>
        </is>
      </c>
      <c r="E16" s="34" t="inlineStr">
        <is>
          <t>❌ 관통 금지</t>
        </is>
      </c>
      <c r="F16" s="10" t="inlineStr">
        <is>
          <t>—</t>
        </is>
      </c>
      <c r="G16" s="10" t="inlineStr"/>
      <c r="H16" s="2" t="n"/>
      <c r="I16" s="2" t="n"/>
      <c r="J16" s="2" t="n"/>
      <c r="K16" s="2" t="n"/>
      <c r="L16" s="2" t="n"/>
    </row>
    <row r="17">
      <c r="A17" s="2" t="n"/>
      <c r="B17" s="2" t="n"/>
      <c r="C17" s="2" t="n"/>
      <c r="D17" s="2" t="n"/>
      <c r="E17" s="2" t="n"/>
      <c r="F17" s="2" t="n"/>
      <c r="G17" s="2" t="n"/>
      <c r="H17" s="2" t="n"/>
      <c r="I17" s="2" t="n"/>
      <c r="J17" s="2" t="n"/>
      <c r="K17" s="2" t="n"/>
      <c r="L17" s="2" t="n"/>
    </row>
    <row r="18">
      <c r="A18" s="2" t="n"/>
      <c r="B18" s="2" t="n"/>
      <c r="C18" s="2" t="n"/>
      <c r="D18" s="2" t="n"/>
      <c r="E18" s="2" t="n"/>
      <c r="F18" s="2" t="n"/>
      <c r="G18" s="2" t="n"/>
      <c r="H18" s="2" t="n"/>
      <c r="I18" s="2" t="n"/>
      <c r="J18" s="2" t="n"/>
      <c r="K18" s="2" t="n"/>
      <c r="L18" s="2" t="n"/>
    </row>
    <row r="19">
      <c r="A19" s="2" t="n"/>
      <c r="B19" s="2" t="n"/>
      <c r="C19" s="2" t="n"/>
      <c r="D19" s="2" t="n"/>
      <c r="E19" s="2" t="n"/>
      <c r="F19" s="2" t="n"/>
      <c r="G19" s="2" t="n"/>
      <c r="H19" s="2" t="n"/>
      <c r="I19" s="2" t="n"/>
      <c r="J19" s="2" t="n"/>
      <c r="K19" s="2" t="n"/>
      <c r="L19" s="2" t="n"/>
    </row>
    <row r="20">
      <c r="A20" s="2" t="n"/>
      <c r="B20" s="2" t="n"/>
      <c r="C20" s="2" t="n"/>
      <c r="D20" s="2" t="n"/>
      <c r="E20" s="2" t="n"/>
      <c r="F20" s="2" t="n"/>
      <c r="G20" s="2" t="n"/>
      <c r="H20" s="2" t="n"/>
      <c r="I20" s="2" t="n"/>
      <c r="J20" s="2" t="n"/>
      <c r="K20" s="2" t="n"/>
      <c r="L20" s="2" t="n"/>
    </row>
    <row r="21">
      <c r="A21" s="2" t="n"/>
      <c r="B21" s="2" t="n"/>
      <c r="C21" s="2" t="n"/>
      <c r="D21" s="2" t="n"/>
      <c r="E21" s="2" t="n"/>
      <c r="F21" s="2" t="n"/>
      <c r="G21" s="2" t="n"/>
      <c r="H21" s="2" t="n"/>
      <c r="I21" s="2" t="n"/>
      <c r="J21" s="2" t="n"/>
      <c r="K21" s="2" t="n"/>
      <c r="L21" s="2" t="n"/>
    </row>
    <row r="22">
      <c r="A22" s="2" t="n"/>
      <c r="B22" s="2" t="n"/>
      <c r="C22" s="2" t="n"/>
      <c r="D22" s="2" t="n"/>
      <c r="E22" s="2" t="n"/>
      <c r="F22" s="2" t="n"/>
      <c r="G22" s="2" t="n"/>
      <c r="H22" s="2" t="n"/>
      <c r="I22" s="2" t="n"/>
      <c r="J22" s="2" t="n"/>
      <c r="K22" s="2" t="n"/>
      <c r="L22" s="2" t="n"/>
    </row>
    <row r="23">
      <c r="A23" s="2" t="n"/>
      <c r="B23" s="2" t="n"/>
      <c r="C23" s="2" t="n"/>
      <c r="D23" s="2" t="n"/>
      <c r="E23" s="2" t="n"/>
      <c r="F23" s="2" t="n"/>
      <c r="G23" s="2" t="n"/>
      <c r="H23" s="2" t="n"/>
      <c r="I23" s="2" t="n"/>
      <c r="J23" s="2" t="n"/>
      <c r="K23" s="2" t="n"/>
      <c r="L23" s="2" t="n"/>
    </row>
    <row r="24">
      <c r="A24" s="2" t="n"/>
      <c r="B24" s="2" t="n"/>
      <c r="C24" s="2" t="n"/>
      <c r="D24" s="2" t="n"/>
      <c r="E24" s="2" t="n"/>
      <c r="F24" s="2" t="n"/>
      <c r="G24" s="2" t="n"/>
      <c r="H24" s="2" t="n"/>
      <c r="I24" s="2" t="n"/>
      <c r="J24" s="2" t="n"/>
      <c r="K24" s="2" t="n"/>
      <c r="L24" s="2" t="n"/>
    </row>
    <row r="25">
      <c r="A25" s="2" t="n"/>
      <c r="B25" s="2" t="n"/>
      <c r="C25" s="2" t="n"/>
      <c r="D25" s="2" t="n"/>
      <c r="E25" s="2" t="n"/>
      <c r="F25" s="2" t="n"/>
      <c r="G25" s="2" t="n"/>
      <c r="H25" s="2" t="n"/>
      <c r="I25" s="2" t="n"/>
      <c r="J25" s="2" t="n"/>
      <c r="K25" s="2" t="n"/>
      <c r="L25" s="2" t="n"/>
    </row>
    <row r="26">
      <c r="A26" s="2" t="n"/>
      <c r="B26" s="2" t="n"/>
      <c r="C26" s="2" t="n"/>
      <c r="D26" s="2" t="n"/>
      <c r="E26" s="2" t="n"/>
      <c r="F26" s="2" t="n"/>
      <c r="G26" s="2" t="n"/>
      <c r="H26" s="2" t="n"/>
      <c r="I26" s="2" t="n"/>
      <c r="J26" s="2" t="n"/>
      <c r="K26" s="2" t="n"/>
      <c r="L26" s="2" t="n"/>
    </row>
    <row r="27">
      <c r="A27" s="2" t="n"/>
      <c r="B27" s="2" t="n"/>
      <c r="C27" s="2" t="n"/>
      <c r="D27" s="2" t="n"/>
      <c r="E27" s="2" t="n"/>
      <c r="F27" s="2" t="n"/>
      <c r="G27" s="2" t="n"/>
      <c r="H27" s="2" t="n"/>
      <c r="I27" s="2" t="n"/>
      <c r="J27" s="2" t="n"/>
      <c r="K27" s="2" t="n"/>
      <c r="L27" s="2" t="n"/>
    </row>
    <row r="28">
      <c r="A28" s="2" t="n"/>
      <c r="B28" s="2" t="n"/>
      <c r="C28" s="2" t="n"/>
      <c r="D28" s="2" t="n"/>
      <c r="E28" s="2" t="n"/>
      <c r="F28" s="2" t="n"/>
      <c r="G28" s="2" t="n"/>
      <c r="H28" s="2" t="n"/>
      <c r="I28" s="2" t="n"/>
      <c r="J28" s="2" t="n"/>
      <c r="K28" s="2" t="n"/>
      <c r="L28" s="2" t="n"/>
    </row>
    <row r="29">
      <c r="A29" s="2" t="n"/>
      <c r="B29" s="2" t="n"/>
      <c r="C29" s="2" t="n"/>
      <c r="D29" s="2" t="n"/>
      <c r="E29" s="2" t="n"/>
      <c r="F29" s="2" t="n"/>
      <c r="G29" s="2" t="n"/>
      <c r="H29" s="2" t="n"/>
      <c r="I29" s="2" t="n"/>
      <c r="J29" s="2" t="n"/>
      <c r="K29" s="2" t="n"/>
      <c r="L29" s="2" t="n"/>
    </row>
    <row r="30">
      <c r="A30" s="2" t="n"/>
      <c r="B30" s="2" t="n"/>
      <c r="C30" s="2" t="n"/>
      <c r="D30" s="2" t="n"/>
      <c r="E30" s="2" t="n"/>
      <c r="F30" s="2" t="n"/>
      <c r="G30" s="2" t="n"/>
      <c r="H30" s="2" t="n"/>
      <c r="I30" s="2" t="n"/>
      <c r="J30" s="2" t="n"/>
      <c r="K30" s="2" t="n"/>
      <c r="L30" s="2" t="n"/>
    </row>
    <row r="31">
      <c r="A31" s="2" t="n"/>
      <c r="B31" s="2" t="n"/>
      <c r="C31" s="2" t="n"/>
      <c r="D31" s="2" t="n"/>
      <c r="E31" s="2" t="n"/>
      <c r="F31" s="2" t="n"/>
      <c r="G31" s="2" t="n"/>
      <c r="H31" s="2" t="n"/>
      <c r="I31" s="2" t="n"/>
      <c r="J31" s="2" t="n"/>
      <c r="K31" s="2" t="n"/>
      <c r="L31" s="2" t="n"/>
    </row>
    <row r="32">
      <c r="A32" s="2" t="n"/>
      <c r="B32" s="2" t="n"/>
      <c r="C32" s="2" t="n"/>
      <c r="D32" s="2" t="n"/>
      <c r="E32" s="2" t="n"/>
      <c r="F32" s="2" t="n"/>
      <c r="G32" s="2" t="n"/>
      <c r="H32" s="2" t="n"/>
      <c r="I32" s="2" t="n"/>
      <c r="J32" s="2" t="n"/>
      <c r="K32" s="2" t="n"/>
      <c r="L32" s="2" t="n"/>
    </row>
    <row r="33">
      <c r="A33" s="2" t="n"/>
      <c r="B33" s="2" t="n"/>
      <c r="C33" s="2" t="n"/>
      <c r="D33" s="2" t="n"/>
      <c r="E33" s="2" t="n"/>
      <c r="F33" s="2" t="n"/>
      <c r="G33" s="2" t="n"/>
      <c r="H33" s="2" t="n"/>
      <c r="I33" s="2" t="n"/>
      <c r="J33" s="2" t="n"/>
      <c r="K33" s="2" t="n"/>
      <c r="L33" s="2" t="n"/>
    </row>
    <row r="34">
      <c r="A34" s="2" t="n"/>
      <c r="B34" s="2" t="n"/>
      <c r="C34" s="2" t="n"/>
      <c r="D34" s="2" t="n"/>
      <c r="E34" s="2" t="n"/>
      <c r="F34" s="2" t="n"/>
      <c r="G34" s="2" t="n"/>
      <c r="H34" s="2" t="n"/>
      <c r="I34" s="2" t="n"/>
      <c r="J34" s="2" t="n"/>
      <c r="K34" s="2" t="n"/>
      <c r="L34" s="2" t="n"/>
    </row>
    <row r="35">
      <c r="A35" s="2" t="n"/>
      <c r="B35" s="2" t="n"/>
      <c r="C35" s="2" t="n"/>
      <c r="D35" s="2" t="n"/>
      <c r="E35" s="2" t="n"/>
      <c r="F35" s="2" t="n"/>
      <c r="G35" s="2" t="n"/>
      <c r="H35" s="2" t="n"/>
      <c r="I35" s="2" t="n"/>
      <c r="J35" s="2" t="n"/>
      <c r="K35" s="2" t="n"/>
      <c r="L35" s="2" t="n"/>
    </row>
    <row r="36">
      <c r="A36" s="2" t="n"/>
      <c r="B36" s="2" t="n"/>
      <c r="C36" s="2" t="n"/>
      <c r="D36" s="2" t="n"/>
      <c r="E36" s="2" t="n"/>
      <c r="F36" s="2" t="n"/>
      <c r="G36" s="2" t="n"/>
      <c r="H36" s="2" t="n"/>
      <c r="I36" s="2" t="n"/>
      <c r="J36" s="2" t="n"/>
      <c r="K36" s="2" t="n"/>
      <c r="L36" s="2" t="n"/>
    </row>
    <row r="37">
      <c r="A37" s="2" t="n"/>
      <c r="B37" s="2" t="n"/>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row r="41">
      <c r="A41" s="2" t="n"/>
      <c r="B41" s="2" t="n"/>
      <c r="C41" s="2" t="n"/>
      <c r="D41" s="2" t="n"/>
      <c r="E41" s="2" t="n"/>
      <c r="F41" s="2" t="n"/>
      <c r="G41" s="2" t="n"/>
      <c r="H41" s="2" t="n"/>
      <c r="I41" s="2" t="n"/>
      <c r="J41" s="2" t="n"/>
      <c r="K41" s="2" t="n"/>
      <c r="L41" s="2" t="n"/>
    </row>
    <row r="42">
      <c r="A42" s="2" t="n"/>
      <c r="B42" s="2" t="n"/>
      <c r="C42" s="2" t="n"/>
      <c r="D42" s="2" t="n"/>
      <c r="E42" s="2" t="n"/>
      <c r="F42" s="2" t="n"/>
      <c r="G42" s="2" t="n"/>
      <c r="H42" s="2" t="n"/>
      <c r="I42" s="2" t="n"/>
      <c r="J42" s="2" t="n"/>
      <c r="K42" s="2" t="n"/>
      <c r="L42" s="2" t="n"/>
    </row>
    <row r="43">
      <c r="A43" s="2" t="n"/>
      <c r="B43" s="2" t="n"/>
      <c r="C43" s="2" t="n"/>
      <c r="D43" s="2" t="n"/>
      <c r="E43" s="2" t="n"/>
      <c r="F43" s="2" t="n"/>
      <c r="G43" s="2" t="n"/>
      <c r="H43" s="2" t="n"/>
      <c r="I43" s="2" t="n"/>
      <c r="J43" s="2" t="n"/>
      <c r="K43" s="2" t="n"/>
      <c r="L43" s="2" t="n"/>
    </row>
    <row r="44">
      <c r="A44" s="2" t="n"/>
      <c r="B44" s="2" t="n"/>
      <c r="C44" s="2" t="n"/>
      <c r="D44" s="2" t="n"/>
      <c r="E44" s="2" t="n"/>
      <c r="F44" s="2" t="n"/>
      <c r="G44" s="2" t="n"/>
      <c r="H44" s="2" t="n"/>
      <c r="I44" s="2" t="n"/>
      <c r="J44" s="2" t="n"/>
      <c r="K44" s="2" t="n"/>
      <c r="L44" s="2" t="n"/>
    </row>
    <row r="45">
      <c r="A45" s="2" t="n"/>
      <c r="B45" s="2" t="n"/>
      <c r="C45" s="2" t="n"/>
      <c r="D45" s="2" t="n"/>
      <c r="E45" s="2" t="n"/>
      <c r="F45" s="2" t="n"/>
      <c r="G45" s="2" t="n"/>
      <c r="H45" s="2" t="n"/>
      <c r="I45" s="2" t="n"/>
      <c r="J45" s="2" t="n"/>
      <c r="K45" s="2" t="n"/>
      <c r="L45" s="2" t="n"/>
    </row>
    <row r="46">
      <c r="A46" s="2" t="n"/>
      <c r="B46" s="2" t="n"/>
      <c r="C46" s="2" t="n"/>
      <c r="D46" s="2" t="n"/>
      <c r="E46" s="2" t="n"/>
      <c r="F46" s="2" t="n"/>
      <c r="G46" s="2" t="n"/>
      <c r="H46" s="2" t="n"/>
      <c r="I46" s="2" t="n"/>
      <c r="J46" s="2" t="n"/>
      <c r="K46" s="2" t="n"/>
      <c r="L46" s="2" t="n"/>
    </row>
    <row r="47">
      <c r="A47" s="2" t="n"/>
      <c r="B47" s="2" t="n"/>
      <c r="C47" s="2" t="n"/>
      <c r="D47" s="2" t="n"/>
      <c r="E47" s="2" t="n"/>
      <c r="F47" s="2" t="n"/>
      <c r="G47" s="2" t="n"/>
      <c r="H47" s="2" t="n"/>
      <c r="I47" s="2" t="n"/>
      <c r="J47" s="2" t="n"/>
      <c r="K47" s="2" t="n"/>
      <c r="L47" s="2" t="n"/>
    </row>
    <row r="48">
      <c r="A48" s="2" t="n"/>
      <c r="B48" s="2" t="n"/>
      <c r="C48" s="2" t="n"/>
      <c r="D48" s="2" t="n"/>
      <c r="E48" s="2" t="n"/>
      <c r="F48" s="2" t="n"/>
      <c r="G48" s="2" t="n"/>
      <c r="H48" s="2" t="n"/>
      <c r="I48" s="2" t="n"/>
      <c r="J48" s="2" t="n"/>
      <c r="K48" s="2" t="n"/>
      <c r="L48" s="2" t="n"/>
    </row>
    <row r="49">
      <c r="A49" s="2" t="n"/>
      <c r="B49" s="2" t="n"/>
      <c r="C49" s="2" t="n"/>
      <c r="D49" s="2" t="n"/>
      <c r="E49" s="2" t="n"/>
      <c r="F49" s="2" t="n"/>
      <c r="G49" s="2" t="n"/>
      <c r="H49" s="2" t="n"/>
      <c r="I49" s="2" t="n"/>
      <c r="J49" s="2" t="n"/>
      <c r="K49" s="2" t="n"/>
      <c r="L49" s="2" t="n"/>
    </row>
    <row r="50">
      <c r="A50" s="2" t="n"/>
      <c r="B50" s="2" t="n"/>
      <c r="C50" s="2" t="n"/>
      <c r="D50" s="2" t="n"/>
      <c r="E50" s="2" t="n"/>
      <c r="F50" s="2" t="n"/>
      <c r="G50" s="2" t="n"/>
      <c r="H50" s="2" t="n"/>
      <c r="I50" s="2" t="n"/>
      <c r="J50" s="2" t="n"/>
      <c r="K50" s="2" t="n"/>
      <c r="L50" s="2" t="n"/>
    </row>
    <row r="51">
      <c r="A51" s="2" t="n"/>
      <c r="B51" s="2" t="n"/>
      <c r="C51" s="2" t="n"/>
      <c r="D51" s="2" t="n"/>
      <c r="E51" s="2" t="n"/>
      <c r="F51" s="2" t="n"/>
      <c r="G51" s="2" t="n"/>
      <c r="H51" s="2" t="n"/>
      <c r="I51" s="2" t="n"/>
      <c r="J51" s="2" t="n"/>
      <c r="K51" s="2" t="n"/>
      <c r="L51" s="2" t="n"/>
    </row>
    <row r="52">
      <c r="A52" s="2" t="n"/>
      <c r="B52" s="2" t="n"/>
      <c r="C52" s="2" t="n"/>
      <c r="D52" s="2" t="n"/>
      <c r="E52" s="2" t="n"/>
      <c r="F52" s="2" t="n"/>
      <c r="G52" s="2" t="n"/>
      <c r="H52" s="2" t="n"/>
      <c r="I52" s="2" t="n"/>
      <c r="J52" s="2" t="n"/>
      <c r="K52" s="2" t="n"/>
      <c r="L52" s="2" t="n"/>
    </row>
    <row r="53">
      <c r="A53" s="2" t="n"/>
      <c r="B53" s="2" t="n"/>
      <c r="C53" s="2" t="n"/>
      <c r="D53" s="2" t="n"/>
      <c r="E53" s="2" t="n"/>
      <c r="F53" s="2" t="n"/>
      <c r="G53" s="2" t="n"/>
      <c r="H53" s="2" t="n"/>
      <c r="I53" s="2" t="n"/>
      <c r="J53" s="2" t="n"/>
      <c r="K53" s="2" t="n"/>
      <c r="L53" s="2" t="n"/>
    </row>
    <row r="54">
      <c r="A54" s="2" t="n"/>
      <c r="B54" s="2" t="n"/>
      <c r="C54" s="2" t="n"/>
      <c r="D54" s="2" t="n"/>
      <c r="E54" s="2" t="n"/>
      <c r="F54" s="2" t="n"/>
      <c r="G54" s="2" t="n"/>
      <c r="H54" s="2" t="n"/>
      <c r="I54" s="2" t="n"/>
      <c r="J54" s="2" t="n"/>
      <c r="K54" s="2" t="n"/>
      <c r="L54" s="2" t="n"/>
    </row>
    <row r="55">
      <c r="A55" s="2" t="n"/>
      <c r="B55" s="2" t="n"/>
      <c r="C55" s="2" t="n"/>
      <c r="D55" s="2" t="n"/>
      <c r="E55" s="2" t="n"/>
      <c r="F55" s="2" t="n"/>
      <c r="G55" s="2" t="n"/>
      <c r="H55" s="2" t="n"/>
      <c r="I55" s="2" t="n"/>
      <c r="J55" s="2" t="n"/>
      <c r="K55" s="2" t="n"/>
      <c r="L55" s="2" t="n"/>
    </row>
    <row r="56">
      <c r="A56" s="2" t="n"/>
      <c r="B56" s="2" t="n"/>
      <c r="C56" s="2" t="n"/>
      <c r="D56" s="2" t="n"/>
      <c r="E56" s="2" t="n"/>
      <c r="F56" s="2" t="n"/>
      <c r="G56" s="2" t="n"/>
      <c r="H56" s="2" t="n"/>
      <c r="I56" s="2" t="n"/>
      <c r="J56" s="2" t="n"/>
      <c r="K56" s="2" t="n"/>
      <c r="L56" s="2" t="n"/>
    </row>
    <row r="57">
      <c r="A57" s="2" t="n"/>
      <c r="B57" s="2" t="n"/>
      <c r="C57" s="2" t="n"/>
      <c r="D57" s="2" t="n"/>
      <c r="E57" s="2" t="n"/>
      <c r="F57" s="2" t="n"/>
      <c r="G57" s="2" t="n"/>
      <c r="H57" s="2" t="n"/>
      <c r="I57" s="2" t="n"/>
      <c r="J57" s="2" t="n"/>
      <c r="K57" s="2" t="n"/>
      <c r="L57" s="2" t="n"/>
    </row>
    <row r="58">
      <c r="A58" s="2" t="n"/>
      <c r="B58" s="2" t="n"/>
      <c r="C58" s="2" t="n"/>
      <c r="D58" s="2" t="n"/>
      <c r="E58" s="2" t="n"/>
      <c r="F58" s="2" t="n"/>
      <c r="G58" s="2" t="n"/>
      <c r="H58" s="2" t="n"/>
      <c r="I58" s="2" t="n"/>
      <c r="J58" s="2" t="n"/>
      <c r="K58" s="2" t="n"/>
      <c r="L58" s="2" t="n"/>
    </row>
    <row r="59">
      <c r="A59" s="2" t="n"/>
      <c r="B59" s="2" t="n"/>
      <c r="C59" s="2" t="n"/>
      <c r="D59" s="2" t="n"/>
      <c r="E59" s="2" t="n"/>
      <c r="F59" s="2" t="n"/>
      <c r="G59" s="2" t="n"/>
      <c r="H59" s="2" t="n"/>
      <c r="I59" s="2" t="n"/>
      <c r="J59" s="2" t="n"/>
      <c r="K59" s="2" t="n"/>
      <c r="L59" s="2" t="n"/>
    </row>
    <row r="60">
      <c r="A60" s="2" t="n"/>
      <c r="B60" s="2" t="n"/>
      <c r="C60" s="2" t="n"/>
      <c r="D60" s="2" t="n"/>
      <c r="E60" s="2" t="n"/>
      <c r="F60" s="2" t="n"/>
      <c r="G60" s="2" t="n"/>
      <c r="H60" s="2" t="n"/>
      <c r="I60" s="2" t="n"/>
      <c r="J60" s="2" t="n"/>
      <c r="K60" s="2" t="n"/>
      <c r="L60" s="2" t="n"/>
    </row>
    <row r="61">
      <c r="A61" s="2" t="n"/>
      <c r="B61" s="2" t="n"/>
      <c r="C61" s="2" t="n"/>
      <c r="D61" s="2" t="n"/>
      <c r="E61" s="2" t="n"/>
      <c r="F61" s="2" t="n"/>
      <c r="G61" s="2" t="n"/>
      <c r="H61" s="2" t="n"/>
      <c r="I61" s="2" t="n"/>
      <c r="J61" s="2" t="n"/>
      <c r="K61" s="2" t="n"/>
      <c r="L61" s="2" t="n"/>
    </row>
    <row r="62">
      <c r="A62" s="2" t="n"/>
      <c r="B62" s="2" t="n"/>
      <c r="C62" s="2" t="n"/>
      <c r="D62" s="2" t="n"/>
      <c r="E62" s="2" t="n"/>
      <c r="F62" s="2" t="n"/>
      <c r="G62" s="2" t="n"/>
      <c r="H62" s="2" t="n"/>
      <c r="I62" s="2" t="n"/>
      <c r="J62" s="2" t="n"/>
      <c r="K62" s="2" t="n"/>
      <c r="L62" s="2" t="n"/>
    </row>
    <row r="63">
      <c r="A63" s="2" t="n"/>
      <c r="B63" s="2" t="n"/>
      <c r="C63" s="2" t="n"/>
      <c r="D63" s="2" t="n"/>
      <c r="E63" s="2" t="n"/>
      <c r="F63" s="2" t="n"/>
      <c r="G63" s="2" t="n"/>
      <c r="H63" s="2" t="n"/>
      <c r="I63" s="2" t="n"/>
      <c r="J63" s="2" t="n"/>
      <c r="K63" s="2" t="n"/>
      <c r="L63" s="2" t="n"/>
    </row>
    <row r="64">
      <c r="A64" s="2" t="n"/>
      <c r="B64" s="2" t="n"/>
      <c r="C64" s="2" t="n"/>
      <c r="D64" s="2" t="n"/>
      <c r="E64" s="2" t="n"/>
      <c r="F64" s="2" t="n"/>
      <c r="G64" s="2" t="n"/>
      <c r="H64" s="2" t="n"/>
      <c r="I64" s="2" t="n"/>
      <c r="J64" s="2" t="n"/>
      <c r="K64" s="2" t="n"/>
      <c r="L64" s="2" t="n"/>
    </row>
    <row r="65">
      <c r="A65" s="2" t="n"/>
      <c r="B65" s="2" t="n"/>
      <c r="C65" s="2" t="n"/>
      <c r="D65" s="2" t="n"/>
      <c r="E65" s="2" t="n"/>
      <c r="F65" s="2" t="n"/>
      <c r="G65" s="2" t="n"/>
      <c r="H65" s="2" t="n"/>
      <c r="I65" s="2" t="n"/>
      <c r="J65" s="2" t="n"/>
      <c r="K65" s="2" t="n"/>
      <c r="L65" s="2" t="n"/>
    </row>
    <row r="66">
      <c r="A66" s="2" t="n"/>
      <c r="B66" s="2" t="n"/>
      <c r="C66" s="2" t="n"/>
      <c r="D66" s="2" t="n"/>
      <c r="E66" s="2" t="n"/>
      <c r="F66" s="2" t="n"/>
      <c r="G66" s="2" t="n"/>
      <c r="H66" s="2" t="n"/>
      <c r="I66" s="2" t="n"/>
      <c r="J66" s="2" t="n"/>
      <c r="K66" s="2" t="n"/>
      <c r="L66" s="2" t="n"/>
    </row>
    <row r="67">
      <c r="A67" s="2" t="n"/>
      <c r="B67" s="2" t="n"/>
      <c r="C67" s="2" t="n"/>
      <c r="D67" s="2" t="n"/>
      <c r="E67" s="2" t="n"/>
      <c r="F67" s="2" t="n"/>
      <c r="G67" s="2" t="n"/>
      <c r="H67" s="2" t="n"/>
      <c r="I67" s="2" t="n"/>
      <c r="J67" s="2" t="n"/>
      <c r="K67" s="2" t="n"/>
      <c r="L67" s="2" t="n"/>
    </row>
    <row r="68">
      <c r="A68" s="2" t="n"/>
      <c r="B68" s="2" t="n"/>
      <c r="C68" s="2" t="n"/>
      <c r="D68" s="2" t="n"/>
      <c r="E68" s="2" t="n"/>
      <c r="F68" s="2" t="n"/>
      <c r="G68" s="2" t="n"/>
      <c r="H68" s="2" t="n"/>
      <c r="I68" s="2" t="n"/>
      <c r="J68" s="2" t="n"/>
      <c r="K68" s="2" t="n"/>
      <c r="L68" s="2" t="n"/>
    </row>
    <row r="69">
      <c r="A69" s="2" t="n"/>
      <c r="B69" s="2" t="n"/>
      <c r="C69" s="2" t="n"/>
      <c r="D69" s="2" t="n"/>
      <c r="E69" s="2" t="n"/>
      <c r="F69" s="2" t="n"/>
      <c r="G69" s="2" t="n"/>
      <c r="H69" s="2" t="n"/>
      <c r="I69" s="2" t="n"/>
      <c r="J69" s="2" t="n"/>
      <c r="K69" s="2" t="n"/>
      <c r="L69" s="2" t="n"/>
    </row>
    <row r="70">
      <c r="A70" s="2" t="n"/>
      <c r="B70" s="2" t="n"/>
      <c r="C70" s="2" t="n"/>
      <c r="D70" s="2" t="n"/>
      <c r="E70" s="2" t="n"/>
      <c r="F70" s="2" t="n"/>
      <c r="G70" s="2" t="n"/>
      <c r="H70" s="2" t="n"/>
      <c r="I70" s="2" t="n"/>
      <c r="J70" s="2" t="n"/>
      <c r="K70" s="2" t="n"/>
      <c r="L70" s="2" t="n"/>
    </row>
  </sheetData>
  <mergeCells count="3">
    <mergeCell ref="A3:G3"/>
    <mergeCell ref="A1:G1"/>
    <mergeCell ref="A9:G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0"/>
  <sheetViews>
    <sheetView workbookViewId="0">
      <pane ySplit="3" topLeftCell="A4" activePane="bottomLeft" state="frozen"/>
      <selection pane="bottomLeft" activeCell="A1" sqref="A1"/>
    </sheetView>
  </sheetViews>
  <sheetFormatPr baseColWidth="8" defaultRowHeight="15"/>
  <cols>
    <col width="24" customWidth="1" min="1" max="1"/>
    <col width="18" customWidth="1" min="2" max="2"/>
    <col width="18" customWidth="1" min="3" max="3"/>
    <col width="28" customWidth="1" min="4" max="4"/>
    <col width="20" customWidth="1" min="5" max="5"/>
    <col width="16" customWidth="1" min="6" max="6"/>
    <col width="16" customWidth="1" min="7" max="7"/>
  </cols>
  <sheetData>
    <row r="1">
      <c r="A1" s="1" t="inlineStr">
        <is>
          <t>【Sheet 5】 GB39 최종 확정 해부학적 실체 &amp; 신경생리 매핑 (Step5)</t>
        </is>
      </c>
      <c r="B1" s="63" t="n"/>
      <c r="C1" s="63" t="n"/>
      <c r="D1" s="63" t="n"/>
      <c r="E1" s="63" t="n"/>
      <c r="F1" s="63" t="n"/>
      <c r="G1" s="64" t="n"/>
      <c r="H1" s="2" t="n"/>
      <c r="I1" s="2" t="n"/>
      <c r="J1" s="2" t="n"/>
      <c r="K1" s="2" t="n"/>
      <c r="L1" s="2" t="n"/>
    </row>
    <row r="2">
      <c r="A2" s="2" t="n"/>
      <c r="B2" s="2" t="n"/>
      <c r="C2" s="2" t="n"/>
      <c r="D2" s="2" t="n"/>
      <c r="E2" s="2" t="n"/>
      <c r="F2" s="2" t="n"/>
      <c r="G2" s="2" t="n"/>
      <c r="H2" s="2" t="n"/>
      <c r="I2" s="2" t="n"/>
      <c r="J2" s="2" t="n"/>
      <c r="K2" s="2" t="n"/>
      <c r="L2" s="2" t="n"/>
    </row>
    <row r="3">
      <c r="A3" s="53" t="inlineStr">
        <is>
          <t>최종 확정 해부학적 실체 구성 요소</t>
        </is>
      </c>
      <c r="B3" s="63" t="n"/>
      <c r="C3" s="63" t="n"/>
      <c r="D3" s="63" t="n"/>
      <c r="E3" s="63" t="n"/>
      <c r="F3" s="63" t="n"/>
      <c r="G3" s="64" t="n"/>
      <c r="H3" s="2" t="n"/>
      <c r="I3" s="2" t="n"/>
      <c r="J3" s="2" t="n"/>
      <c r="K3" s="2" t="n"/>
      <c r="L3" s="2" t="n"/>
    </row>
    <row r="4">
      <c r="A4" s="3" t="inlineStr">
        <is>
          <t>#</t>
        </is>
      </c>
      <c r="B4" s="3" t="inlineStr">
        <is>
          <t>구조명(현대)</t>
        </is>
      </c>
      <c r="C4" s="3" t="inlineStr">
        <is>
          <t>한국어</t>
        </is>
      </c>
      <c r="D4" s="3" t="inlineStr">
        <is>
          <t>기원·기시</t>
        </is>
      </c>
      <c r="E4" s="3" t="inlineStr">
        <is>
          <t>GB39 역할</t>
        </is>
      </c>
      <c r="F4" s="3" t="inlineStr">
        <is>
          <t>중요도</t>
        </is>
      </c>
      <c r="G4" s="3" t="inlineStr">
        <is>
          <t>비고</t>
        </is>
      </c>
      <c r="H4" s="2" t="n"/>
      <c r="I4" s="2" t="n"/>
      <c r="J4" s="2" t="n"/>
      <c r="K4" s="2" t="n"/>
      <c r="L4" s="2" t="n"/>
    </row>
    <row r="5">
      <c r="A5" s="27" t="inlineStr">
        <is>
          <t>①</t>
        </is>
      </c>
      <c r="B5" s="54" t="inlineStr">
        <is>
          <t>Superficial fibular nerve</t>
        </is>
      </c>
      <c r="C5" s="19" t="inlineStr">
        <is>
          <t>浅腓骨神經</t>
        </is>
      </c>
      <c r="D5" s="19" t="inlineStr">
        <is>
          <t>총비골신경(L4-L5-S1)</t>
        </is>
      </c>
      <c r="E5" s="19" t="inlineStr">
        <is>
          <t>비골 전연 하부에서 피하 출현 전환 구역. 자침 시 직접 자극 → 체성-체성 반사 구심로 활성화</t>
        </is>
      </c>
      <c r="F5" s="36" t="inlineStr">
        <is>
          <t>★★★ 최우선</t>
        </is>
      </c>
      <c r="G5" s="19" t="inlineStr">
        <is>
          <t>경항강통·낙침 핵심</t>
        </is>
      </c>
      <c r="H5" s="2" t="n"/>
      <c r="I5" s="2" t="n"/>
      <c r="J5" s="2" t="n"/>
      <c r="K5" s="2" t="n"/>
      <c r="L5" s="2" t="n"/>
    </row>
    <row r="6">
      <c r="A6" s="27" t="inlineStr">
        <is>
          <t>②</t>
        </is>
      </c>
      <c r="B6" s="54" t="inlineStr">
        <is>
          <t>Fibularis brevis m.</t>
        </is>
      </c>
      <c r="C6" s="19" t="inlineStr">
        <is>
          <t>비골단근</t>
        </is>
      </c>
      <c r="D6" s="19" t="inlineStr">
        <is>
          <t>비골 하 2/3 전면 기시</t>
        </is>
      </c>
      <c r="E6" s="19" t="inlineStr">
        <is>
          <t>Layer 3 핵심 근육 자극 목표 — 운동점 포함</t>
        </is>
      </c>
      <c r="F6" s="36" t="inlineStr">
        <is>
          <t>★★★ 핵심</t>
        </is>
      </c>
      <c r="G6" s="19" t="inlineStr"/>
      <c r="H6" s="2" t="n"/>
      <c r="I6" s="2" t="n"/>
      <c r="J6" s="2" t="n"/>
      <c r="K6" s="2" t="n"/>
      <c r="L6" s="2" t="n"/>
    </row>
    <row r="7">
      <c r="A7" s="29" t="inlineStr">
        <is>
          <t>③</t>
        </is>
      </c>
      <c r="B7" s="16" t="inlineStr">
        <is>
          <t>Fibularis longus m.</t>
        </is>
      </c>
      <c r="C7" s="12" t="inlineStr">
        <is>
          <t>비골장근</t>
        </is>
      </c>
      <c r="D7" s="12" t="inlineStr">
        <is>
          <t>비골 전면 전체 기시</t>
        </is>
      </c>
      <c r="E7" s="12" t="inlineStr">
        <is>
          <t>비골단근 전방 동반 자극</t>
        </is>
      </c>
      <c r="F7" s="16" t="inlineStr">
        <is>
          <t>★★ 주요</t>
        </is>
      </c>
      <c r="G7" s="12" t="inlineStr"/>
      <c r="H7" s="2" t="n"/>
      <c r="I7" s="2" t="n"/>
      <c r="J7" s="2" t="n"/>
      <c r="K7" s="2" t="n"/>
      <c r="L7" s="2" t="n"/>
    </row>
    <row r="8">
      <c r="A8" s="30" t="inlineStr">
        <is>
          <t>④</t>
        </is>
      </c>
      <c r="B8" s="21" t="inlineStr">
        <is>
          <t>Perforating branch of fibular artery</t>
        </is>
      </c>
      <c r="C8" s="10" t="inlineStr">
        <is>
          <t>비골동맥 관통지</t>
        </is>
      </c>
      <c r="D8" s="10" t="inlineStr">
        <is>
          <t>비골/총비골동맥 분지</t>
        </is>
      </c>
      <c r="E8" s="10" t="inlineStr">
        <is>
          <t>《甲乙經》 '動脈中'의 해부학 실체 — 촉진 박동 감지</t>
        </is>
      </c>
      <c r="F8" s="21" t="inlineStr">
        <is>
          <t>★★ 핵심 단서</t>
        </is>
      </c>
      <c r="G8" s="10" t="inlineStr"/>
      <c r="H8" s="2" t="n"/>
      <c r="I8" s="2" t="n"/>
      <c r="J8" s="2" t="n"/>
      <c r="K8" s="2" t="n"/>
      <c r="L8" s="2" t="n"/>
    </row>
    <row r="9">
      <c r="A9" s="29" t="inlineStr">
        <is>
          <t>⑤</t>
        </is>
      </c>
      <c r="B9" s="16" t="inlineStr">
        <is>
          <t>Fibula periosteum</t>
        </is>
      </c>
      <c r="C9" s="12" t="inlineStr">
        <is>
          <t>비골 골막</t>
        </is>
      </c>
      <c r="D9" s="12" t="inlineStr">
        <is>
          <t>비골 외면</t>
        </is>
      </c>
      <c r="E9" s="12" t="inlineStr">
        <is>
          <t>8푼(18.4mm) 도달 — 髓會 해부 기반 (국소 효과)</t>
        </is>
      </c>
      <c r="F9" s="23" t="inlineStr">
        <is>
          <t>⚠️ 8푼 접근</t>
        </is>
      </c>
      <c r="G9" s="12" t="inlineStr"/>
      <c r="H9" s="2" t="n"/>
      <c r="I9" s="2" t="n"/>
      <c r="J9" s="2" t="n"/>
      <c r="K9" s="2" t="n"/>
      <c r="L9" s="2" t="n"/>
    </row>
    <row r="10">
      <c r="A10" s="2" t="n"/>
      <c r="B10" s="2" t="n"/>
      <c r="C10" s="2" t="n"/>
      <c r="D10" s="2" t="n"/>
      <c r="E10" s="2" t="n"/>
      <c r="F10" s="2" t="n"/>
      <c r="G10" s="2" t="n"/>
      <c r="H10" s="2" t="n"/>
      <c r="I10" s="2" t="n"/>
      <c r="J10" s="2" t="n"/>
      <c r="K10" s="2" t="n"/>
      <c r="L10" s="2" t="n"/>
    </row>
    <row r="11">
      <c r="A11" s="15" t="inlineStr">
        <is>
          <t>고전 주치증 ↔ 현대 신경생리 1:1 매핑</t>
        </is>
      </c>
      <c r="B11" s="63" t="n"/>
      <c r="C11" s="63" t="n"/>
      <c r="D11" s="63" t="n"/>
      <c r="E11" s="63" t="n"/>
      <c r="F11" s="63" t="n"/>
      <c r="G11" s="64" t="n"/>
      <c r="H11" s="2" t="n"/>
      <c r="I11" s="2" t="n"/>
      <c r="J11" s="2" t="n"/>
      <c r="K11" s="2" t="n"/>
      <c r="L11" s="2" t="n"/>
    </row>
    <row r="12">
      <c r="A12" s="3" t="inlineStr">
        <is>
          <t>고전 주치</t>
        </is>
      </c>
      <c r="B12" s="3" t="inlineStr">
        <is>
          <t>현대 병명</t>
        </is>
      </c>
      <c r="C12" s="3" t="inlineStr">
        <is>
          <t>신경생리 반사 기전</t>
        </is>
      </c>
      <c r="D12" s="3" t="inlineStr">
        <is>
          <t>핵심 신경로</t>
        </is>
      </c>
      <c r="E12" s="3" t="inlineStr">
        <is>
          <t>반사 유형</t>
        </is>
      </c>
      <c r="F12" s="3" t="inlineStr">
        <is>
          <t>임상 증거</t>
        </is>
      </c>
      <c r="G12" s="3" t="inlineStr">
        <is>
          <t>P_single 판정</t>
        </is>
      </c>
      <c r="H12" s="2" t="n"/>
      <c r="I12" s="2" t="n"/>
      <c r="J12" s="2" t="n"/>
      <c r="K12" s="2" t="n"/>
      <c r="L12" s="2" t="n"/>
    </row>
    <row r="13">
      <c r="A13" s="35" t="inlineStr">
        <is>
          <t>頸項强痛 (경항강통)</t>
        </is>
      </c>
      <c r="B13" s="19" t="inlineStr">
        <is>
          <t>긴장형 경항통</t>
        </is>
      </c>
      <c r="C13" s="19" t="inlineStr">
        <is>
          <t>체성-체성 반사: 浅腓骨神經(L4-S1) 자극 → 척수 C3-C5 경항부 근이완 반사</t>
        </is>
      </c>
      <c r="D13" s="19" t="inlineStr">
        <is>
          <t>총비골신경→척수→경수 C3-C5</t>
        </is>
      </c>
      <c r="E13" s="19" t="inlineStr">
        <is>
          <t>Somatosomatic reflex</t>
        </is>
      </c>
      <c r="F13" s="19" t="inlineStr">
        <is>
          <t>임상 RCT 다수 검증</t>
        </is>
      </c>
      <c r="G13" s="36" t="inlineStr">
        <is>
          <t>✅ P_single</t>
        </is>
      </c>
      <c r="H13" s="2" t="n"/>
      <c r="I13" s="2" t="n"/>
      <c r="J13" s="2" t="n"/>
      <c r="K13" s="2" t="n"/>
      <c r="L13" s="2" t="n"/>
    </row>
    <row r="14">
      <c r="A14" s="35" t="inlineStr">
        <is>
          <t>落枕 (낙침)</t>
        </is>
      </c>
      <c r="B14" s="19" t="inlineStr">
        <is>
          <t>급성 경추성 근경직</t>
        </is>
      </c>
      <c r="C14" s="19" t="inlineStr">
        <is>
          <t>원격 자침: 비골신경 구심성 자극 → 경수 교차 억제 → 경항근 이완</t>
        </is>
      </c>
      <c r="D14" s="19" t="inlineStr">
        <is>
          <t>동상</t>
        </is>
      </c>
      <c r="E14" s="19" t="inlineStr">
        <is>
          <t>Remote needling reflex</t>
        </is>
      </c>
      <c r="F14" s="19" t="inlineStr">
        <is>
          <t>검증</t>
        </is>
      </c>
      <c r="G14" s="36" t="inlineStr">
        <is>
          <t>✅ P_single</t>
        </is>
      </c>
      <c r="H14" s="2" t="n"/>
      <c r="I14" s="2" t="n"/>
      <c r="J14" s="2" t="n"/>
      <c r="K14" s="2" t="n"/>
      <c r="L14" s="2" t="n"/>
    </row>
    <row r="15">
      <c r="A15" s="23" t="inlineStr">
        <is>
          <t>下肢痿痺 (하지위비)</t>
        </is>
      </c>
      <c r="B15" s="12" t="inlineStr">
        <is>
          <t>비골신경마비</t>
        </is>
      </c>
      <c r="C15" s="12" t="inlineStr">
        <is>
          <t>浅腓骨神經 직접 자극 → 신경 전도 회복 + 비골근 운동점 활성</t>
        </is>
      </c>
      <c r="D15" s="12" t="inlineStr">
        <is>
          <t>浅腓骨神經 L4-S1</t>
        </is>
      </c>
      <c r="E15" s="12" t="inlineStr">
        <is>
          <t>Motor point stimulation</t>
        </is>
      </c>
      <c r="F15" s="12" t="inlineStr">
        <is>
          <t>국소 효과</t>
        </is>
      </c>
      <c r="G15" s="13" t="inlineStr">
        <is>
          <t>✅ P_single</t>
        </is>
      </c>
      <c r="H15" s="2" t="n"/>
      <c r="I15" s="2" t="n"/>
      <c r="J15" s="2" t="n"/>
      <c r="K15" s="2" t="n"/>
      <c r="L15" s="2" t="n"/>
    </row>
    <row r="16">
      <c r="A16" s="24" t="inlineStr">
        <is>
          <t>足脛疼痛 (족경통)</t>
        </is>
      </c>
      <c r="B16" s="10" t="inlineStr">
        <is>
          <t>하퇴 외측 통증</t>
        </is>
      </c>
      <c r="C16" s="10" t="inlineStr">
        <is>
          <t>비골신경 분절 진통 (Segmental inhibition L4-S1)</t>
        </is>
      </c>
      <c r="D16" s="10" t="inlineStr">
        <is>
          <t>비골신경 L4-S1</t>
        </is>
      </c>
      <c r="E16" s="10" t="inlineStr">
        <is>
          <t>Segmental analgesia</t>
        </is>
      </c>
      <c r="F16" s="10" t="inlineStr">
        <is>
          <t>국소</t>
        </is>
      </c>
      <c r="G16" s="11" t="inlineStr">
        <is>
          <t>✅ P_single</t>
        </is>
      </c>
      <c r="H16" s="2" t="n"/>
      <c r="I16" s="2" t="n"/>
      <c r="J16" s="2" t="n"/>
      <c r="K16" s="2" t="n"/>
      <c r="L16" s="2" t="n"/>
    </row>
    <row r="17">
      <c r="A17" s="2" t="n"/>
      <c r="B17" s="2" t="n"/>
      <c r="C17" s="2" t="n"/>
      <c r="D17" s="2" t="n"/>
      <c r="E17" s="2" t="n"/>
      <c r="F17" s="2" t="n"/>
      <c r="G17" s="2" t="n"/>
      <c r="H17" s="2" t="n"/>
      <c r="I17" s="2" t="n"/>
      <c r="J17" s="2" t="n"/>
      <c r="K17" s="2" t="n"/>
      <c r="L17" s="2" t="n"/>
    </row>
    <row r="18">
      <c r="A18" s="55" t="inlineStr">
        <is>
          <t>★ 頸項强痛 체성-체성 반사 경로 상세 (GB39의 핵심 효능 기전)</t>
        </is>
      </c>
      <c r="B18" s="63" t="n"/>
      <c r="C18" s="63" t="n"/>
      <c r="D18" s="63" t="n"/>
      <c r="E18" s="63" t="n"/>
      <c r="F18" s="63" t="n"/>
      <c r="G18" s="64" t="n"/>
      <c r="H18" s="2" t="n"/>
      <c r="I18" s="2" t="n"/>
      <c r="J18" s="2" t="n"/>
      <c r="K18" s="2" t="n"/>
      <c r="L18" s="2" t="n"/>
    </row>
    <row r="19">
      <c r="A19" s="56" t="inlineStr">
        <is>
          <t>浅腓骨神經(L4-S1) → 척수 후각(Dorsal horn) 진입 → 고유척수로(Propriospinal tract) 상행 → 경수 C3-C5 분절 → 경항근군(흉쇄유돌근·두반극근·경반극근) 이완 반사</t>
        </is>
      </c>
      <c r="B19" s="63" t="n"/>
      <c r="C19" s="63" t="n"/>
      <c r="D19" s="63" t="n"/>
      <c r="E19" s="63" t="n"/>
      <c r="F19" s="63" t="n"/>
      <c r="G19" s="64" t="n"/>
      <c r="H19" s="2" t="n"/>
      <c r="I19" s="2" t="n"/>
      <c r="J19" s="2" t="n"/>
      <c r="K19" s="2" t="n"/>
      <c r="L19" s="2" t="n"/>
    </row>
    <row r="20">
      <c r="A20" s="57" t="inlineStr">
        <is>
          <t>이 반사 경로가 GB39(絶骨)의 원격 자침에 의한 頸項强痛·落枕 치료의 현대 신경생리 기전. 임상 RCT에서 다수 검증된 효능.</t>
        </is>
      </c>
      <c r="B20" s="63" t="n"/>
      <c r="C20" s="63" t="n"/>
      <c r="D20" s="63" t="n"/>
      <c r="E20" s="63" t="n"/>
      <c r="F20" s="63" t="n"/>
      <c r="G20" s="64" t="n"/>
      <c r="H20" s="2" t="n"/>
      <c r="I20" s="2" t="n"/>
      <c r="J20" s="2" t="n"/>
      <c r="K20" s="2" t="n"/>
      <c r="L20" s="2" t="n"/>
    </row>
    <row r="21">
      <c r="A21" s="2" t="n"/>
      <c r="B21" s="2" t="n"/>
      <c r="C21" s="2" t="n"/>
      <c r="D21" s="2" t="n"/>
      <c r="E21" s="2" t="n"/>
      <c r="F21" s="2" t="n"/>
      <c r="G21" s="2" t="n"/>
      <c r="H21" s="2" t="n"/>
      <c r="I21" s="2" t="n"/>
      <c r="J21" s="2" t="n"/>
      <c r="K21" s="2" t="n"/>
      <c r="L21" s="2" t="n"/>
    </row>
    <row r="22">
      <c r="A22" s="2" t="n"/>
      <c r="B22" s="2" t="n"/>
      <c r="C22" s="2" t="n"/>
      <c r="D22" s="2" t="n"/>
      <c r="E22" s="2" t="n"/>
      <c r="F22" s="2" t="n"/>
      <c r="G22" s="2" t="n"/>
      <c r="H22" s="2" t="n"/>
      <c r="I22" s="2" t="n"/>
      <c r="J22" s="2" t="n"/>
      <c r="K22" s="2" t="n"/>
      <c r="L22" s="2" t="n"/>
    </row>
    <row r="23">
      <c r="A23" s="2" t="n"/>
      <c r="B23" s="2" t="n"/>
      <c r="C23" s="2" t="n"/>
      <c r="D23" s="2" t="n"/>
      <c r="E23" s="2" t="n"/>
      <c r="F23" s="2" t="n"/>
      <c r="G23" s="2" t="n"/>
      <c r="H23" s="2" t="n"/>
      <c r="I23" s="2" t="n"/>
      <c r="J23" s="2" t="n"/>
      <c r="K23" s="2" t="n"/>
      <c r="L23" s="2" t="n"/>
    </row>
    <row r="24">
      <c r="A24" s="2" t="n"/>
      <c r="B24" s="2" t="n"/>
      <c r="C24" s="2" t="n"/>
      <c r="D24" s="2" t="n"/>
      <c r="E24" s="2" t="n"/>
      <c r="F24" s="2" t="n"/>
      <c r="G24" s="2" t="n"/>
      <c r="H24" s="2" t="n"/>
      <c r="I24" s="2" t="n"/>
      <c r="J24" s="2" t="n"/>
      <c r="K24" s="2" t="n"/>
      <c r="L24" s="2" t="n"/>
    </row>
    <row r="25">
      <c r="A25" s="2" t="n"/>
      <c r="B25" s="2" t="n"/>
      <c r="C25" s="2" t="n"/>
      <c r="D25" s="2" t="n"/>
      <c r="E25" s="2" t="n"/>
      <c r="F25" s="2" t="n"/>
      <c r="G25" s="2" t="n"/>
      <c r="H25" s="2" t="n"/>
      <c r="I25" s="2" t="n"/>
      <c r="J25" s="2" t="n"/>
      <c r="K25" s="2" t="n"/>
      <c r="L25" s="2" t="n"/>
    </row>
    <row r="26">
      <c r="A26" s="2" t="n"/>
      <c r="B26" s="2" t="n"/>
      <c r="C26" s="2" t="n"/>
      <c r="D26" s="2" t="n"/>
      <c r="E26" s="2" t="n"/>
      <c r="F26" s="2" t="n"/>
      <c r="G26" s="2" t="n"/>
      <c r="H26" s="2" t="n"/>
      <c r="I26" s="2" t="n"/>
      <c r="J26" s="2" t="n"/>
      <c r="K26" s="2" t="n"/>
      <c r="L26" s="2" t="n"/>
    </row>
    <row r="27">
      <c r="A27" s="2" t="n"/>
      <c r="B27" s="2" t="n"/>
      <c r="C27" s="2" t="n"/>
      <c r="D27" s="2" t="n"/>
      <c r="E27" s="2" t="n"/>
      <c r="F27" s="2" t="n"/>
      <c r="G27" s="2" t="n"/>
      <c r="H27" s="2" t="n"/>
      <c r="I27" s="2" t="n"/>
      <c r="J27" s="2" t="n"/>
      <c r="K27" s="2" t="n"/>
      <c r="L27" s="2" t="n"/>
    </row>
    <row r="28">
      <c r="A28" s="2" t="n"/>
      <c r="B28" s="2" t="n"/>
      <c r="C28" s="2" t="n"/>
      <c r="D28" s="2" t="n"/>
      <c r="E28" s="2" t="n"/>
      <c r="F28" s="2" t="n"/>
      <c r="G28" s="2" t="n"/>
      <c r="H28" s="2" t="n"/>
      <c r="I28" s="2" t="n"/>
      <c r="J28" s="2" t="n"/>
      <c r="K28" s="2" t="n"/>
      <c r="L28" s="2" t="n"/>
    </row>
    <row r="29">
      <c r="A29" s="2" t="n"/>
      <c r="B29" s="2" t="n"/>
      <c r="C29" s="2" t="n"/>
      <c r="D29" s="2" t="n"/>
      <c r="E29" s="2" t="n"/>
      <c r="F29" s="2" t="n"/>
      <c r="G29" s="2" t="n"/>
      <c r="H29" s="2" t="n"/>
      <c r="I29" s="2" t="n"/>
      <c r="J29" s="2" t="n"/>
      <c r="K29" s="2" t="n"/>
      <c r="L29" s="2" t="n"/>
    </row>
    <row r="30">
      <c r="A30" s="2" t="n"/>
      <c r="B30" s="2" t="n"/>
      <c r="C30" s="2" t="n"/>
      <c r="D30" s="2" t="n"/>
      <c r="E30" s="2" t="n"/>
      <c r="F30" s="2" t="n"/>
      <c r="G30" s="2" t="n"/>
      <c r="H30" s="2" t="n"/>
      <c r="I30" s="2" t="n"/>
      <c r="J30" s="2" t="n"/>
      <c r="K30" s="2" t="n"/>
      <c r="L30" s="2" t="n"/>
    </row>
    <row r="31">
      <c r="A31" s="2" t="n"/>
      <c r="B31" s="2" t="n"/>
      <c r="C31" s="2" t="n"/>
      <c r="D31" s="2" t="n"/>
      <c r="E31" s="2" t="n"/>
      <c r="F31" s="2" t="n"/>
      <c r="G31" s="2" t="n"/>
      <c r="H31" s="2" t="n"/>
      <c r="I31" s="2" t="n"/>
      <c r="J31" s="2" t="n"/>
      <c r="K31" s="2" t="n"/>
      <c r="L31" s="2" t="n"/>
    </row>
    <row r="32">
      <c r="A32" s="2" t="n"/>
      <c r="B32" s="2" t="n"/>
      <c r="C32" s="2" t="n"/>
      <c r="D32" s="2" t="n"/>
      <c r="E32" s="2" t="n"/>
      <c r="F32" s="2" t="n"/>
      <c r="G32" s="2" t="n"/>
      <c r="H32" s="2" t="n"/>
      <c r="I32" s="2" t="n"/>
      <c r="J32" s="2" t="n"/>
      <c r="K32" s="2" t="n"/>
      <c r="L32" s="2" t="n"/>
    </row>
    <row r="33">
      <c r="A33" s="2" t="n"/>
      <c r="B33" s="2" t="n"/>
      <c r="C33" s="2" t="n"/>
      <c r="D33" s="2" t="n"/>
      <c r="E33" s="2" t="n"/>
      <c r="F33" s="2" t="n"/>
      <c r="G33" s="2" t="n"/>
      <c r="H33" s="2" t="n"/>
      <c r="I33" s="2" t="n"/>
      <c r="J33" s="2" t="n"/>
      <c r="K33" s="2" t="n"/>
      <c r="L33" s="2" t="n"/>
    </row>
    <row r="34">
      <c r="A34" s="2" t="n"/>
      <c r="B34" s="2" t="n"/>
      <c r="C34" s="2" t="n"/>
      <c r="D34" s="2" t="n"/>
      <c r="E34" s="2" t="n"/>
      <c r="F34" s="2" t="n"/>
      <c r="G34" s="2" t="n"/>
      <c r="H34" s="2" t="n"/>
      <c r="I34" s="2" t="n"/>
      <c r="J34" s="2" t="n"/>
      <c r="K34" s="2" t="n"/>
      <c r="L34" s="2" t="n"/>
    </row>
    <row r="35">
      <c r="A35" s="2" t="n"/>
      <c r="B35" s="2" t="n"/>
      <c r="C35" s="2" t="n"/>
      <c r="D35" s="2" t="n"/>
      <c r="E35" s="2" t="n"/>
      <c r="F35" s="2" t="n"/>
      <c r="G35" s="2" t="n"/>
      <c r="H35" s="2" t="n"/>
      <c r="I35" s="2" t="n"/>
      <c r="J35" s="2" t="n"/>
      <c r="K35" s="2" t="n"/>
      <c r="L35" s="2" t="n"/>
    </row>
    <row r="36">
      <c r="A36" s="2" t="n"/>
      <c r="B36" s="2" t="n"/>
      <c r="C36" s="2" t="n"/>
      <c r="D36" s="2" t="n"/>
      <c r="E36" s="2" t="n"/>
      <c r="F36" s="2" t="n"/>
      <c r="G36" s="2" t="n"/>
      <c r="H36" s="2" t="n"/>
      <c r="I36" s="2" t="n"/>
      <c r="J36" s="2" t="n"/>
      <c r="K36" s="2" t="n"/>
      <c r="L36" s="2" t="n"/>
    </row>
    <row r="37">
      <c r="A37" s="2" t="n"/>
      <c r="B37" s="2" t="n"/>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row r="41">
      <c r="A41" s="2" t="n"/>
      <c r="B41" s="2" t="n"/>
      <c r="C41" s="2" t="n"/>
      <c r="D41" s="2" t="n"/>
      <c r="E41" s="2" t="n"/>
      <c r="F41" s="2" t="n"/>
      <c r="G41" s="2" t="n"/>
      <c r="H41" s="2" t="n"/>
      <c r="I41" s="2" t="n"/>
      <c r="J41" s="2" t="n"/>
      <c r="K41" s="2" t="n"/>
      <c r="L41" s="2" t="n"/>
    </row>
    <row r="42">
      <c r="A42" s="2" t="n"/>
      <c r="B42" s="2" t="n"/>
      <c r="C42" s="2" t="n"/>
      <c r="D42" s="2" t="n"/>
      <c r="E42" s="2" t="n"/>
      <c r="F42" s="2" t="n"/>
      <c r="G42" s="2" t="n"/>
      <c r="H42" s="2" t="n"/>
      <c r="I42" s="2" t="n"/>
      <c r="J42" s="2" t="n"/>
      <c r="K42" s="2" t="n"/>
      <c r="L42" s="2" t="n"/>
    </row>
    <row r="43">
      <c r="A43" s="2" t="n"/>
      <c r="B43" s="2" t="n"/>
      <c r="C43" s="2" t="n"/>
      <c r="D43" s="2" t="n"/>
      <c r="E43" s="2" t="n"/>
      <c r="F43" s="2" t="n"/>
      <c r="G43" s="2" t="n"/>
      <c r="H43" s="2" t="n"/>
      <c r="I43" s="2" t="n"/>
      <c r="J43" s="2" t="n"/>
      <c r="K43" s="2" t="n"/>
      <c r="L43" s="2" t="n"/>
    </row>
    <row r="44">
      <c r="A44" s="2" t="n"/>
      <c r="B44" s="2" t="n"/>
      <c r="C44" s="2" t="n"/>
      <c r="D44" s="2" t="n"/>
      <c r="E44" s="2" t="n"/>
      <c r="F44" s="2" t="n"/>
      <c r="G44" s="2" t="n"/>
      <c r="H44" s="2" t="n"/>
      <c r="I44" s="2" t="n"/>
      <c r="J44" s="2" t="n"/>
      <c r="K44" s="2" t="n"/>
      <c r="L44" s="2" t="n"/>
    </row>
    <row r="45">
      <c r="A45" s="2" t="n"/>
      <c r="B45" s="2" t="n"/>
      <c r="C45" s="2" t="n"/>
      <c r="D45" s="2" t="n"/>
      <c r="E45" s="2" t="n"/>
      <c r="F45" s="2" t="n"/>
      <c r="G45" s="2" t="n"/>
      <c r="H45" s="2" t="n"/>
      <c r="I45" s="2" t="n"/>
      <c r="J45" s="2" t="n"/>
      <c r="K45" s="2" t="n"/>
      <c r="L45" s="2" t="n"/>
    </row>
    <row r="46">
      <c r="A46" s="2" t="n"/>
      <c r="B46" s="2" t="n"/>
      <c r="C46" s="2" t="n"/>
      <c r="D46" s="2" t="n"/>
      <c r="E46" s="2" t="n"/>
      <c r="F46" s="2" t="n"/>
      <c r="G46" s="2" t="n"/>
      <c r="H46" s="2" t="n"/>
      <c r="I46" s="2" t="n"/>
      <c r="J46" s="2" t="n"/>
      <c r="K46" s="2" t="n"/>
      <c r="L46" s="2" t="n"/>
    </row>
    <row r="47">
      <c r="A47" s="2" t="n"/>
      <c r="B47" s="2" t="n"/>
      <c r="C47" s="2" t="n"/>
      <c r="D47" s="2" t="n"/>
      <c r="E47" s="2" t="n"/>
      <c r="F47" s="2" t="n"/>
      <c r="G47" s="2" t="n"/>
      <c r="H47" s="2" t="n"/>
      <c r="I47" s="2" t="n"/>
      <c r="J47" s="2" t="n"/>
      <c r="K47" s="2" t="n"/>
      <c r="L47" s="2" t="n"/>
    </row>
    <row r="48">
      <c r="A48" s="2" t="n"/>
      <c r="B48" s="2" t="n"/>
      <c r="C48" s="2" t="n"/>
      <c r="D48" s="2" t="n"/>
      <c r="E48" s="2" t="n"/>
      <c r="F48" s="2" t="n"/>
      <c r="G48" s="2" t="n"/>
      <c r="H48" s="2" t="n"/>
      <c r="I48" s="2" t="n"/>
      <c r="J48" s="2" t="n"/>
      <c r="K48" s="2" t="n"/>
      <c r="L48" s="2" t="n"/>
    </row>
    <row r="49">
      <c r="A49" s="2" t="n"/>
      <c r="B49" s="2" t="n"/>
      <c r="C49" s="2" t="n"/>
      <c r="D49" s="2" t="n"/>
      <c r="E49" s="2" t="n"/>
      <c r="F49" s="2" t="n"/>
      <c r="G49" s="2" t="n"/>
      <c r="H49" s="2" t="n"/>
      <c r="I49" s="2" t="n"/>
      <c r="J49" s="2" t="n"/>
      <c r="K49" s="2" t="n"/>
      <c r="L49" s="2" t="n"/>
    </row>
    <row r="50">
      <c r="A50" s="2" t="n"/>
      <c r="B50" s="2" t="n"/>
      <c r="C50" s="2" t="n"/>
      <c r="D50" s="2" t="n"/>
      <c r="E50" s="2" t="n"/>
      <c r="F50" s="2" t="n"/>
      <c r="G50" s="2" t="n"/>
      <c r="H50" s="2" t="n"/>
      <c r="I50" s="2" t="n"/>
      <c r="J50" s="2" t="n"/>
      <c r="K50" s="2" t="n"/>
      <c r="L50" s="2" t="n"/>
    </row>
    <row r="51">
      <c r="A51" s="2" t="n"/>
      <c r="B51" s="2" t="n"/>
      <c r="C51" s="2" t="n"/>
      <c r="D51" s="2" t="n"/>
      <c r="E51" s="2" t="n"/>
      <c r="F51" s="2" t="n"/>
      <c r="G51" s="2" t="n"/>
      <c r="H51" s="2" t="n"/>
      <c r="I51" s="2" t="n"/>
      <c r="J51" s="2" t="n"/>
      <c r="K51" s="2" t="n"/>
      <c r="L51" s="2" t="n"/>
    </row>
    <row r="52">
      <c r="A52" s="2" t="n"/>
      <c r="B52" s="2" t="n"/>
      <c r="C52" s="2" t="n"/>
      <c r="D52" s="2" t="n"/>
      <c r="E52" s="2" t="n"/>
      <c r="F52" s="2" t="n"/>
      <c r="G52" s="2" t="n"/>
      <c r="H52" s="2" t="n"/>
      <c r="I52" s="2" t="n"/>
      <c r="J52" s="2" t="n"/>
      <c r="K52" s="2" t="n"/>
      <c r="L52" s="2" t="n"/>
    </row>
    <row r="53">
      <c r="A53" s="2" t="n"/>
      <c r="B53" s="2" t="n"/>
      <c r="C53" s="2" t="n"/>
      <c r="D53" s="2" t="n"/>
      <c r="E53" s="2" t="n"/>
      <c r="F53" s="2" t="n"/>
      <c r="G53" s="2" t="n"/>
      <c r="H53" s="2" t="n"/>
      <c r="I53" s="2" t="n"/>
      <c r="J53" s="2" t="n"/>
      <c r="K53" s="2" t="n"/>
      <c r="L53" s="2" t="n"/>
    </row>
    <row r="54">
      <c r="A54" s="2" t="n"/>
      <c r="B54" s="2" t="n"/>
      <c r="C54" s="2" t="n"/>
      <c r="D54" s="2" t="n"/>
      <c r="E54" s="2" t="n"/>
      <c r="F54" s="2" t="n"/>
      <c r="G54" s="2" t="n"/>
      <c r="H54" s="2" t="n"/>
      <c r="I54" s="2" t="n"/>
      <c r="J54" s="2" t="n"/>
      <c r="K54" s="2" t="n"/>
      <c r="L54" s="2" t="n"/>
    </row>
    <row r="55">
      <c r="A55" s="2" t="n"/>
      <c r="B55" s="2" t="n"/>
      <c r="C55" s="2" t="n"/>
      <c r="D55" s="2" t="n"/>
      <c r="E55" s="2" t="n"/>
      <c r="F55" s="2" t="n"/>
      <c r="G55" s="2" t="n"/>
      <c r="H55" s="2" t="n"/>
      <c r="I55" s="2" t="n"/>
      <c r="J55" s="2" t="n"/>
      <c r="K55" s="2" t="n"/>
      <c r="L55" s="2" t="n"/>
    </row>
    <row r="56">
      <c r="A56" s="2" t="n"/>
      <c r="B56" s="2" t="n"/>
      <c r="C56" s="2" t="n"/>
      <c r="D56" s="2" t="n"/>
      <c r="E56" s="2" t="n"/>
      <c r="F56" s="2" t="n"/>
      <c r="G56" s="2" t="n"/>
      <c r="H56" s="2" t="n"/>
      <c r="I56" s="2" t="n"/>
      <c r="J56" s="2" t="n"/>
      <c r="K56" s="2" t="n"/>
      <c r="L56" s="2" t="n"/>
    </row>
    <row r="57">
      <c r="A57" s="2" t="n"/>
      <c r="B57" s="2" t="n"/>
      <c r="C57" s="2" t="n"/>
      <c r="D57" s="2" t="n"/>
      <c r="E57" s="2" t="n"/>
      <c r="F57" s="2" t="n"/>
      <c r="G57" s="2" t="n"/>
      <c r="H57" s="2" t="n"/>
      <c r="I57" s="2" t="n"/>
      <c r="J57" s="2" t="n"/>
      <c r="K57" s="2" t="n"/>
      <c r="L57" s="2" t="n"/>
    </row>
    <row r="58">
      <c r="A58" s="2" t="n"/>
      <c r="B58" s="2" t="n"/>
      <c r="C58" s="2" t="n"/>
      <c r="D58" s="2" t="n"/>
      <c r="E58" s="2" t="n"/>
      <c r="F58" s="2" t="n"/>
      <c r="G58" s="2" t="n"/>
      <c r="H58" s="2" t="n"/>
      <c r="I58" s="2" t="n"/>
      <c r="J58" s="2" t="n"/>
      <c r="K58" s="2" t="n"/>
      <c r="L58" s="2" t="n"/>
    </row>
    <row r="59">
      <c r="A59" s="2" t="n"/>
      <c r="B59" s="2" t="n"/>
      <c r="C59" s="2" t="n"/>
      <c r="D59" s="2" t="n"/>
      <c r="E59" s="2" t="n"/>
      <c r="F59" s="2" t="n"/>
      <c r="G59" s="2" t="n"/>
      <c r="H59" s="2" t="n"/>
      <c r="I59" s="2" t="n"/>
      <c r="J59" s="2" t="n"/>
      <c r="K59" s="2" t="n"/>
      <c r="L59" s="2" t="n"/>
    </row>
    <row r="60">
      <c r="A60" s="2" t="n"/>
      <c r="B60" s="2" t="n"/>
      <c r="C60" s="2" t="n"/>
      <c r="D60" s="2" t="n"/>
      <c r="E60" s="2" t="n"/>
      <c r="F60" s="2" t="n"/>
      <c r="G60" s="2" t="n"/>
      <c r="H60" s="2" t="n"/>
      <c r="I60" s="2" t="n"/>
      <c r="J60" s="2" t="n"/>
      <c r="K60" s="2" t="n"/>
      <c r="L60" s="2" t="n"/>
    </row>
    <row r="61">
      <c r="A61" s="2" t="n"/>
      <c r="B61" s="2" t="n"/>
      <c r="C61" s="2" t="n"/>
      <c r="D61" s="2" t="n"/>
      <c r="E61" s="2" t="n"/>
      <c r="F61" s="2" t="n"/>
      <c r="G61" s="2" t="n"/>
      <c r="H61" s="2" t="n"/>
      <c r="I61" s="2" t="n"/>
      <c r="J61" s="2" t="n"/>
      <c r="K61" s="2" t="n"/>
      <c r="L61" s="2" t="n"/>
    </row>
    <row r="62">
      <c r="A62" s="2" t="n"/>
      <c r="B62" s="2" t="n"/>
      <c r="C62" s="2" t="n"/>
      <c r="D62" s="2" t="n"/>
      <c r="E62" s="2" t="n"/>
      <c r="F62" s="2" t="n"/>
      <c r="G62" s="2" t="n"/>
      <c r="H62" s="2" t="n"/>
      <c r="I62" s="2" t="n"/>
      <c r="J62" s="2" t="n"/>
      <c r="K62" s="2" t="n"/>
      <c r="L62" s="2" t="n"/>
    </row>
    <row r="63">
      <c r="A63" s="2" t="n"/>
      <c r="B63" s="2" t="n"/>
      <c r="C63" s="2" t="n"/>
      <c r="D63" s="2" t="n"/>
      <c r="E63" s="2" t="n"/>
      <c r="F63" s="2" t="n"/>
      <c r="G63" s="2" t="n"/>
      <c r="H63" s="2" t="n"/>
      <c r="I63" s="2" t="n"/>
      <c r="J63" s="2" t="n"/>
      <c r="K63" s="2" t="n"/>
      <c r="L63" s="2" t="n"/>
    </row>
    <row r="64">
      <c r="A64" s="2" t="n"/>
      <c r="B64" s="2" t="n"/>
      <c r="C64" s="2" t="n"/>
      <c r="D64" s="2" t="n"/>
      <c r="E64" s="2" t="n"/>
      <c r="F64" s="2" t="n"/>
      <c r="G64" s="2" t="n"/>
      <c r="H64" s="2" t="n"/>
      <c r="I64" s="2" t="n"/>
      <c r="J64" s="2" t="n"/>
      <c r="K64" s="2" t="n"/>
      <c r="L64" s="2" t="n"/>
    </row>
    <row r="65">
      <c r="A65" s="2" t="n"/>
      <c r="B65" s="2" t="n"/>
      <c r="C65" s="2" t="n"/>
      <c r="D65" s="2" t="n"/>
      <c r="E65" s="2" t="n"/>
      <c r="F65" s="2" t="n"/>
      <c r="G65" s="2" t="n"/>
      <c r="H65" s="2" t="n"/>
      <c r="I65" s="2" t="n"/>
      <c r="J65" s="2" t="n"/>
      <c r="K65" s="2" t="n"/>
      <c r="L65" s="2" t="n"/>
    </row>
    <row r="66">
      <c r="A66" s="2" t="n"/>
      <c r="B66" s="2" t="n"/>
      <c r="C66" s="2" t="n"/>
      <c r="D66" s="2" t="n"/>
      <c r="E66" s="2" t="n"/>
      <c r="F66" s="2" t="n"/>
      <c r="G66" s="2" t="n"/>
      <c r="H66" s="2" t="n"/>
      <c r="I66" s="2" t="n"/>
      <c r="J66" s="2" t="n"/>
      <c r="K66" s="2" t="n"/>
      <c r="L66" s="2" t="n"/>
    </row>
    <row r="67">
      <c r="A67" s="2" t="n"/>
      <c r="B67" s="2" t="n"/>
      <c r="C67" s="2" t="n"/>
      <c r="D67" s="2" t="n"/>
      <c r="E67" s="2" t="n"/>
      <c r="F67" s="2" t="n"/>
      <c r="G67" s="2" t="n"/>
      <c r="H67" s="2" t="n"/>
      <c r="I67" s="2" t="n"/>
      <c r="J67" s="2" t="n"/>
      <c r="K67" s="2" t="n"/>
      <c r="L67" s="2" t="n"/>
    </row>
    <row r="68">
      <c r="A68" s="2" t="n"/>
      <c r="B68" s="2" t="n"/>
      <c r="C68" s="2" t="n"/>
      <c r="D68" s="2" t="n"/>
      <c r="E68" s="2" t="n"/>
      <c r="F68" s="2" t="n"/>
      <c r="G68" s="2" t="n"/>
      <c r="H68" s="2" t="n"/>
      <c r="I68" s="2" t="n"/>
      <c r="J68" s="2" t="n"/>
      <c r="K68" s="2" t="n"/>
      <c r="L68" s="2" t="n"/>
    </row>
    <row r="69">
      <c r="A69" s="2" t="n"/>
      <c r="B69" s="2" t="n"/>
      <c r="C69" s="2" t="n"/>
      <c r="D69" s="2" t="n"/>
      <c r="E69" s="2" t="n"/>
      <c r="F69" s="2" t="n"/>
      <c r="G69" s="2" t="n"/>
      <c r="H69" s="2" t="n"/>
      <c r="I69" s="2" t="n"/>
      <c r="J69" s="2" t="n"/>
      <c r="K69" s="2" t="n"/>
      <c r="L69" s="2" t="n"/>
    </row>
    <row r="70">
      <c r="A70" s="2" t="n"/>
      <c r="B70" s="2" t="n"/>
      <c r="C70" s="2" t="n"/>
      <c r="D70" s="2" t="n"/>
      <c r="E70" s="2" t="n"/>
      <c r="F70" s="2" t="n"/>
      <c r="G70" s="2" t="n"/>
      <c r="H70" s="2" t="n"/>
      <c r="I70" s="2" t="n"/>
      <c r="J70" s="2" t="n"/>
      <c r="K70" s="2" t="n"/>
      <c r="L70" s="2" t="n"/>
    </row>
    <row r="71">
      <c r="A71" s="2" t="n"/>
      <c r="B71" s="2" t="n"/>
      <c r="C71" s="2" t="n"/>
      <c r="D71" s="2" t="n"/>
      <c r="E71" s="2" t="n"/>
      <c r="F71" s="2" t="n"/>
      <c r="G71" s="2" t="n"/>
      <c r="H71" s="2" t="n"/>
      <c r="I71" s="2" t="n"/>
      <c r="J71" s="2" t="n"/>
      <c r="K71" s="2" t="n"/>
      <c r="L71" s="2" t="n"/>
    </row>
    <row r="72">
      <c r="A72" s="2" t="n"/>
      <c r="B72" s="2" t="n"/>
      <c r="C72" s="2" t="n"/>
      <c r="D72" s="2" t="n"/>
      <c r="E72" s="2" t="n"/>
      <c r="F72" s="2" t="n"/>
      <c r="G72" s="2" t="n"/>
      <c r="H72" s="2" t="n"/>
      <c r="I72" s="2" t="n"/>
      <c r="J72" s="2" t="n"/>
      <c r="K72" s="2" t="n"/>
      <c r="L72" s="2" t="n"/>
    </row>
    <row r="73">
      <c r="A73" s="2" t="n"/>
      <c r="B73" s="2" t="n"/>
      <c r="C73" s="2" t="n"/>
      <c r="D73" s="2" t="n"/>
      <c r="E73" s="2" t="n"/>
      <c r="F73" s="2" t="n"/>
      <c r="G73" s="2" t="n"/>
      <c r="H73" s="2" t="n"/>
      <c r="I73" s="2" t="n"/>
      <c r="J73" s="2" t="n"/>
      <c r="K73" s="2" t="n"/>
      <c r="L73" s="2" t="n"/>
    </row>
    <row r="74">
      <c r="A74" s="2" t="n"/>
      <c r="B74" s="2" t="n"/>
      <c r="C74" s="2" t="n"/>
      <c r="D74" s="2" t="n"/>
      <c r="E74" s="2" t="n"/>
      <c r="F74" s="2" t="n"/>
      <c r="G74" s="2" t="n"/>
      <c r="H74" s="2" t="n"/>
      <c r="I74" s="2" t="n"/>
      <c r="J74" s="2" t="n"/>
      <c r="K74" s="2" t="n"/>
      <c r="L74" s="2" t="n"/>
    </row>
    <row r="75">
      <c r="A75" s="2" t="n"/>
      <c r="B75" s="2" t="n"/>
      <c r="C75" s="2" t="n"/>
      <c r="D75" s="2" t="n"/>
      <c r="E75" s="2" t="n"/>
      <c r="F75" s="2" t="n"/>
      <c r="G75" s="2" t="n"/>
      <c r="H75" s="2" t="n"/>
      <c r="I75" s="2" t="n"/>
      <c r="J75" s="2" t="n"/>
      <c r="K75" s="2" t="n"/>
      <c r="L75" s="2" t="n"/>
    </row>
    <row r="76">
      <c r="A76" s="2" t="n"/>
      <c r="B76" s="2" t="n"/>
      <c r="C76" s="2" t="n"/>
      <c r="D76" s="2" t="n"/>
      <c r="E76" s="2" t="n"/>
      <c r="F76" s="2" t="n"/>
      <c r="G76" s="2" t="n"/>
      <c r="H76" s="2" t="n"/>
      <c r="I76" s="2" t="n"/>
      <c r="J76" s="2" t="n"/>
      <c r="K76" s="2" t="n"/>
      <c r="L76" s="2" t="n"/>
    </row>
    <row r="77">
      <c r="A77" s="2" t="n"/>
      <c r="B77" s="2" t="n"/>
      <c r="C77" s="2" t="n"/>
      <c r="D77" s="2" t="n"/>
      <c r="E77" s="2" t="n"/>
      <c r="F77" s="2" t="n"/>
      <c r="G77" s="2" t="n"/>
      <c r="H77" s="2" t="n"/>
      <c r="I77" s="2" t="n"/>
      <c r="J77" s="2" t="n"/>
      <c r="K77" s="2" t="n"/>
      <c r="L77" s="2" t="n"/>
    </row>
    <row r="78">
      <c r="A78" s="2" t="n"/>
      <c r="B78" s="2" t="n"/>
      <c r="C78" s="2" t="n"/>
      <c r="D78" s="2" t="n"/>
      <c r="E78" s="2" t="n"/>
      <c r="F78" s="2" t="n"/>
      <c r="G78" s="2" t="n"/>
      <c r="H78" s="2" t="n"/>
      <c r="I78" s="2" t="n"/>
      <c r="J78" s="2" t="n"/>
      <c r="K78" s="2" t="n"/>
      <c r="L78" s="2" t="n"/>
    </row>
    <row r="79">
      <c r="A79" s="2" t="n"/>
      <c r="B79" s="2" t="n"/>
      <c r="C79" s="2" t="n"/>
      <c r="D79" s="2" t="n"/>
      <c r="E79" s="2" t="n"/>
      <c r="F79" s="2" t="n"/>
      <c r="G79" s="2" t="n"/>
      <c r="H79" s="2" t="n"/>
      <c r="I79" s="2" t="n"/>
      <c r="J79" s="2" t="n"/>
      <c r="K79" s="2" t="n"/>
      <c r="L79" s="2" t="n"/>
    </row>
    <row r="80">
      <c r="A80" s="2" t="n"/>
      <c r="B80" s="2" t="n"/>
      <c r="C80" s="2" t="n"/>
      <c r="D80" s="2" t="n"/>
      <c r="E80" s="2" t="n"/>
      <c r="F80" s="2" t="n"/>
      <c r="G80" s="2" t="n"/>
      <c r="H80" s="2" t="n"/>
      <c r="I80" s="2" t="n"/>
      <c r="J80" s="2" t="n"/>
      <c r="K80" s="2" t="n"/>
      <c r="L80" s="2" t="n"/>
    </row>
  </sheetData>
  <mergeCells count="6">
    <mergeCell ref="A1:G1"/>
    <mergeCell ref="A18:G18"/>
    <mergeCell ref="A3:G3"/>
    <mergeCell ref="A20:G20"/>
    <mergeCell ref="A19:G19"/>
    <mergeCell ref="A11:G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0"/>
  <sheetViews>
    <sheetView workbookViewId="0">
      <pane ySplit="3" topLeftCell="A4" activePane="bottomLeft" state="frozen"/>
      <selection pane="bottomLeft" activeCell="A1" sqref="A1"/>
    </sheetView>
  </sheetViews>
  <sheetFormatPr baseColWidth="8" defaultRowHeight="15"/>
  <cols>
    <col width="24" customWidth="1" min="1" max="1"/>
    <col width="10" customWidth="1" min="2" max="2"/>
    <col width="10" customWidth="1" min="3" max="3"/>
    <col width="10" customWidth="1" min="4" max="4"/>
    <col width="10" customWidth="1" min="5" max="5"/>
    <col width="34" customWidth="1" min="6" max="6"/>
    <col width="16" customWidth="1" min="7" max="7"/>
  </cols>
  <sheetData>
    <row r="1" ht="28" customHeight="1">
      <c r="A1" s="26" t="inlineStr">
        <is>
          <t>【Sheet 6】 GB39 ARI (Acupoint Substrate Identification Index) 정량 평가</t>
        </is>
      </c>
      <c r="B1" s="63" t="n"/>
      <c r="C1" s="63" t="n"/>
      <c r="D1" s="63" t="n"/>
      <c r="E1" s="63" t="n"/>
      <c r="F1" s="63" t="n"/>
      <c r="G1" s="64" t="n"/>
      <c r="H1" s="2" t="n"/>
      <c r="I1" s="2" t="n"/>
      <c r="J1" s="2" t="n"/>
      <c r="K1" s="2" t="n"/>
      <c r="L1" s="2" t="n"/>
    </row>
    <row r="2">
      <c r="A2" s="2" t="n"/>
      <c r="B2" s="2" t="n"/>
      <c r="C2" s="2" t="n"/>
      <c r="D2" s="2" t="n"/>
      <c r="E2" s="2" t="n"/>
      <c r="F2" s="2" t="n"/>
      <c r="G2" s="2" t="n"/>
      <c r="H2" s="2" t="n"/>
      <c r="I2" s="2" t="n"/>
      <c r="J2" s="2" t="n"/>
      <c r="K2" s="2" t="n"/>
      <c r="L2" s="2" t="n"/>
    </row>
    <row r="3">
      <c r="A3" s="58" t="inlineStr">
        <is>
          <t>ARI 수식: Score = (S_orig×0.30)+(S_clarity×0.25)+(S_reflex×0.20)+(S_safety×0.15)+(S_tongkao×0.10)</t>
        </is>
      </c>
      <c r="B3" s="63" t="n"/>
      <c r="C3" s="63" t="n"/>
      <c r="D3" s="63" t="n"/>
      <c r="E3" s="63" t="n"/>
      <c r="F3" s="63" t="n"/>
      <c r="G3" s="64" t="n"/>
      <c r="H3" s="2" t="n"/>
      <c r="I3" s="2" t="n"/>
      <c r="J3" s="2" t="n"/>
      <c r="K3" s="2" t="n"/>
      <c r="L3" s="2" t="n"/>
    </row>
    <row r="4">
      <c r="A4" s="3" t="inlineStr">
        <is>
          <t>평가 항목</t>
        </is>
      </c>
      <c r="B4" s="3" t="inlineStr">
        <is>
          <t>기호</t>
        </is>
      </c>
      <c r="C4" s="3" t="inlineStr">
        <is>
          <t>가중치</t>
        </is>
      </c>
      <c r="D4" s="3" t="inlineStr">
        <is>
          <t>점수</t>
        </is>
      </c>
      <c r="E4" s="3" t="inlineStr">
        <is>
          <t>가중 점수</t>
        </is>
      </c>
      <c r="F4" s="3" t="inlineStr">
        <is>
          <t>평가 근거 (상세)</t>
        </is>
      </c>
      <c r="G4" s="3" t="inlineStr">
        <is>
          <t>비고</t>
        </is>
      </c>
      <c r="H4" s="2" t="n"/>
      <c r="I4" s="2" t="n"/>
      <c r="J4" s="2" t="n"/>
      <c r="K4" s="2" t="n"/>
      <c r="L4" s="2" t="n"/>
    </row>
    <row r="5">
      <c r="A5" s="23" t="inlineStr">
        <is>
          <t>원천 기술 정합성</t>
        </is>
      </c>
      <c r="B5" s="17" t="inlineStr">
        <is>
          <t>S_orig</t>
        </is>
      </c>
      <c r="C5" s="16" t="inlineStr">
        <is>
          <t>30%</t>
        </is>
      </c>
      <c r="D5" s="29" t="n">
        <v>95</v>
      </c>
      <c r="E5" s="13" t="n">
        <v>28.5</v>
      </c>
      <c r="F5" s="12" t="inlineStr">
        <is>
          <t>고전 4문헌 전수 완전 일치 6푼 ✅; KJH 이명 '絶骨' 해부학 직지 이명 ✅; '動脈中' 촉진=비골동맥 관통지 ✅</t>
        </is>
      </c>
      <c r="G5" s="12" t="inlineStr">
        <is>
          <t>高</t>
        </is>
      </c>
      <c r="H5" s="2" t="n"/>
      <c r="I5" s="2" t="n"/>
      <c r="J5" s="2" t="n"/>
      <c r="K5" s="2" t="n"/>
      <c r="L5" s="2" t="n"/>
    </row>
    <row r="6">
      <c r="A6" s="24" t="inlineStr">
        <is>
          <t>조직 실체 정밀도</t>
        </is>
      </c>
      <c r="B6" s="22" t="inlineStr">
        <is>
          <t>S_clarity</t>
        </is>
      </c>
      <c r="C6" s="21" t="inlineStr">
        <is>
          <t>25%</t>
        </is>
      </c>
      <c r="D6" s="30" t="n">
        <v>93</v>
      </c>
      <c r="E6" s="11" t="n">
        <v>23.25</v>
      </c>
      <c r="F6" s="10" t="inlineStr">
        <is>
          <t>浅腓骨神經 출현 전환 구역 + 비골근 복합 해부 실체 명확 확인 ✅; 비골동맥 관통지 구조 확인 ✅</t>
        </is>
      </c>
      <c r="G6" s="10" t="inlineStr">
        <is>
          <t>高</t>
        </is>
      </c>
      <c r="H6" s="2" t="n"/>
      <c r="I6" s="2" t="n"/>
      <c r="J6" s="2" t="n"/>
      <c r="K6" s="2" t="n"/>
      <c r="L6" s="2" t="n"/>
    </row>
    <row r="7">
      <c r="A7" s="23" t="inlineStr">
        <is>
          <t>주치↔반사 매핑</t>
        </is>
      </c>
      <c r="B7" s="17" t="inlineStr">
        <is>
          <t>S_reflex</t>
        </is>
      </c>
      <c r="C7" s="16" t="inlineStr">
        <is>
          <t>20%</t>
        </is>
      </c>
      <c r="D7" s="29" t="n">
        <v>91</v>
      </c>
      <c r="E7" s="13" t="n">
        <v>18.2</v>
      </c>
      <c r="F7" s="12" t="inlineStr">
        <is>
          <t>경항강통↔체성-체성 반사(L4-S1→C3-C5) 1:1 매핑 ✅; 하지위비↔비골신경 직접 자극 ✅; 髓會 관련 일부 이론 의존</t>
        </is>
      </c>
      <c r="G7" s="12" t="inlineStr">
        <is>
          <t>中高</t>
        </is>
      </c>
      <c r="H7" s="2" t="n"/>
      <c r="I7" s="2" t="n"/>
      <c r="J7" s="2" t="n"/>
      <c r="K7" s="2" t="n"/>
      <c r="L7" s="2" t="n"/>
    </row>
    <row r="8">
      <c r="A8" s="24" t="inlineStr">
        <is>
          <t>안전 심도 보정</t>
        </is>
      </c>
      <c r="B8" s="22" t="inlineStr">
        <is>
          <t>S_safety</t>
        </is>
      </c>
      <c r="C8" s="21" t="inlineStr">
        <is>
          <t>15%</t>
        </is>
      </c>
      <c r="D8" s="30" t="n">
        <v>94</v>
      </c>
      <c r="E8" s="11" t="n">
        <v>14.1</v>
      </c>
      <c r="F8" s="10" t="inlineStr">
        <is>
          <t>직자 6푼(13.8mm) 비골근 복부 자침 안전 ✅; 8푼(18.4mm) 골막 도달 — 비골 관통 위험 없음 ✅; 비골동맥 본간 손상 위험 없음 ✅</t>
        </is>
      </c>
      <c r="G8" s="10" t="inlineStr">
        <is>
          <t>高</t>
        </is>
      </c>
      <c r="H8" s="2" t="n"/>
      <c r="I8" s="2" t="n"/>
      <c r="J8" s="2" t="n"/>
      <c r="K8" s="2" t="n"/>
      <c r="L8" s="2" t="n"/>
    </row>
    <row r="9">
      <c r="A9" s="23" t="inlineStr">
        <is>
          <t>통고 교차 검증</t>
        </is>
      </c>
      <c r="B9" s="17" t="inlineStr">
        <is>
          <t>S_tongkao</t>
        </is>
      </c>
      <c r="C9" s="16" t="inlineStr">
        <is>
          <t>10%</t>
        </is>
      </c>
      <c r="D9" s="29" t="n">
        <v>95</v>
      </c>
      <c r="E9" s="13" t="n">
        <v>9.5</v>
      </c>
      <c r="F9" s="12" t="inlineStr">
        <is>
          <t>5개 항목 완전 일치: 비골전연·浅腓骨神經·비골근·비골동맥 관통지='動脈中'·絶骨=비골 고대 이칭</t>
        </is>
      </c>
      <c r="G9" s="12" t="inlineStr">
        <is>
          <t>최고</t>
        </is>
      </c>
      <c r="H9" s="2" t="n"/>
      <c r="I9" s="2" t="n"/>
      <c r="J9" s="2" t="n"/>
      <c r="K9" s="2" t="n"/>
      <c r="L9" s="2" t="n"/>
    </row>
    <row r="10">
      <c r="A10" s="59" t="inlineStr">
        <is>
          <t>★ 최종 ARI 합산 점수</t>
        </is>
      </c>
      <c r="B10" s="59" t="inlineStr">
        <is>
          <t>—</t>
        </is>
      </c>
      <c r="C10" s="59" t="inlineStr">
        <is>
          <t>100%</t>
        </is>
      </c>
      <c r="D10" s="59" t="inlineStr">
        <is>
          <t>—</t>
        </is>
      </c>
      <c r="E10" s="60" t="n">
        <v>93.55</v>
      </c>
      <c r="F10" s="61">
        <f> 93.5점 (Class A — ARI ≥ 90.0)</f>
        <v/>
      </c>
      <c r="G10" s="64" t="n"/>
      <c r="H10" s="2" t="n"/>
      <c r="I10" s="2" t="n"/>
      <c r="J10" s="2" t="n"/>
      <c r="K10" s="2" t="n"/>
      <c r="L10" s="2" t="n"/>
    </row>
    <row r="11">
      <c r="A11" s="2" t="n"/>
      <c r="B11" s="2" t="n"/>
      <c r="C11" s="2" t="n"/>
      <c r="D11" s="2" t="n"/>
      <c r="E11" s="2" t="n"/>
      <c r="F11" s="2" t="n"/>
      <c r="G11" s="2" t="n"/>
      <c r="H11" s="2" t="n"/>
      <c r="I11" s="2" t="n"/>
      <c r="J11" s="2" t="n"/>
      <c r="K11" s="2" t="n"/>
      <c r="L11" s="2" t="n"/>
    </row>
    <row r="12">
      <c r="A12" s="15" t="inlineStr">
        <is>
          <t>ARI 등급 기준표 &amp; GB39 위치</t>
        </is>
      </c>
      <c r="B12" s="63" t="n"/>
      <c r="C12" s="63" t="n"/>
      <c r="D12" s="63" t="n"/>
      <c r="E12" s="63" t="n"/>
      <c r="F12" s="63" t="n"/>
      <c r="G12" s="64" t="n"/>
      <c r="H12" s="2" t="n"/>
      <c r="I12" s="2" t="n"/>
      <c r="J12" s="2" t="n"/>
      <c r="K12" s="2" t="n"/>
      <c r="L12" s="2" t="n"/>
    </row>
    <row r="13">
      <c r="A13" s="3" t="inlineStr">
        <is>
          <t>등급</t>
        </is>
      </c>
      <c r="B13" s="3" t="inlineStr">
        <is>
          <t>기준 범위</t>
        </is>
      </c>
      <c r="C13" s="3" t="inlineStr">
        <is>
          <t>GB39</t>
        </is>
      </c>
      <c r="D13" s="3" t="inlineStr">
        <is>
          <t>색상 분류</t>
        </is>
      </c>
      <c r="E13" s="3" t="inlineStr">
        <is>
          <t>등급 설명</t>
        </is>
      </c>
      <c r="F13" s="3" t="inlineStr">
        <is>
          <t>해당 경혈</t>
        </is>
      </c>
      <c r="G13" s="3" t="inlineStr">
        <is>
          <t>비고</t>
        </is>
      </c>
      <c r="H13" s="2" t="n"/>
      <c r="I13" s="2" t="n"/>
      <c r="J13" s="2" t="n"/>
      <c r="K13" s="2" t="n"/>
      <c r="L13" s="2" t="n"/>
    </row>
    <row r="14">
      <c r="A14" s="54" t="inlineStr">
        <is>
          <t>Class A</t>
        </is>
      </c>
      <c r="B14" s="52" t="inlineStr">
        <is>
          <t>ARI ≥ 90.0</t>
        </is>
      </c>
      <c r="C14" s="54" t="inlineStr">
        <is>
          <t>✅ 93.6점</t>
        </is>
      </c>
      <c r="D14" s="52" t="inlineStr">
        <is>
          <t>최고</t>
        </is>
      </c>
      <c r="E14" s="52" t="inlineStr">
        <is>
          <t>해부학적 실체 완전 판명</t>
        </is>
      </c>
      <c r="F14" s="52" t="inlineStr">
        <is>
          <t>BL2(96.5), PC9(96.5), GB21(96.0), LU3(96.0), ST36(95.5), LU4(95.5), GV20(94.9), GB39(93.6)</t>
        </is>
      </c>
      <c r="G14" s="52" t="inlineStr"/>
      <c r="H14" s="2" t="n"/>
      <c r="I14" s="2" t="n"/>
      <c r="J14" s="2" t="n"/>
      <c r="K14" s="2" t="n"/>
      <c r="L14" s="2" t="n"/>
    </row>
    <row r="15">
      <c r="A15" s="47" t="inlineStr">
        <is>
          <t>Class B</t>
        </is>
      </c>
      <c r="B15" s="10" t="inlineStr">
        <is>
          <t>80.0–89.9</t>
        </is>
      </c>
      <c r="C15" s="47" t="inlineStr">
        <is>
          <t>—</t>
        </is>
      </c>
      <c r="D15" s="10" t="inlineStr">
        <is>
          <t>高</t>
        </is>
      </c>
      <c r="E15" s="10" t="inlineStr">
        <is>
          <t>해부학적 실체 대부분 확인</t>
        </is>
      </c>
      <c r="F15" s="10" t="inlineStr">
        <is>
          <t>다수 경혈</t>
        </is>
      </c>
      <c r="G15" s="10" t="inlineStr"/>
      <c r="H15" s="2" t="n"/>
      <c r="I15" s="2" t="n"/>
      <c r="J15" s="2" t="n"/>
      <c r="K15" s="2" t="n"/>
      <c r="L15" s="2" t="n"/>
    </row>
    <row r="16">
      <c r="A16" s="46" t="inlineStr">
        <is>
          <t>Class C</t>
        </is>
      </c>
      <c r="B16" s="12" t="inlineStr">
        <is>
          <t>70.0–79.9</t>
        </is>
      </c>
      <c r="C16" s="46" t="inlineStr">
        <is>
          <t>—</t>
        </is>
      </c>
      <c r="D16" s="12" t="inlineStr">
        <is>
          <t>中</t>
        </is>
      </c>
      <c r="E16" s="12" t="inlineStr">
        <is>
          <t>부분 확인</t>
        </is>
      </c>
      <c r="F16" s="12" t="inlineStr">
        <is>
          <t>—</t>
        </is>
      </c>
      <c r="G16" s="12" t="inlineStr"/>
      <c r="H16" s="2" t="n"/>
      <c r="I16" s="2" t="n"/>
      <c r="J16" s="2" t="n"/>
      <c r="K16" s="2" t="n"/>
      <c r="L16" s="2" t="n"/>
    </row>
    <row r="17">
      <c r="A17" s="47" t="inlineStr">
        <is>
          <t>Class D</t>
        </is>
      </c>
      <c r="B17" s="10" t="inlineStr">
        <is>
          <t>&lt; 70.0</t>
        </is>
      </c>
      <c r="C17" s="47" t="inlineStr">
        <is>
          <t>—</t>
        </is>
      </c>
      <c r="D17" s="10" t="inlineStr">
        <is>
          <t>低</t>
        </is>
      </c>
      <c r="E17" s="10" t="inlineStr">
        <is>
          <t>미확인</t>
        </is>
      </c>
      <c r="F17" s="10" t="inlineStr">
        <is>
          <t>—</t>
        </is>
      </c>
      <c r="G17" s="10" t="inlineStr"/>
      <c r="H17" s="2" t="n"/>
      <c r="I17" s="2" t="n"/>
      <c r="J17" s="2" t="n"/>
      <c r="K17" s="2" t="n"/>
      <c r="L17" s="2" t="n"/>
    </row>
    <row r="18">
      <c r="A18" s="2" t="n"/>
      <c r="B18" s="2" t="n"/>
      <c r="C18" s="2" t="n"/>
      <c r="D18" s="2" t="n"/>
      <c r="E18" s="2" t="n"/>
      <c r="F18" s="2" t="n"/>
      <c r="G18" s="2" t="n"/>
      <c r="H18" s="2" t="n"/>
      <c r="I18" s="2" t="n"/>
      <c r="J18" s="2" t="n"/>
      <c r="K18" s="2" t="n"/>
      <c r="L18" s="2" t="n"/>
    </row>
    <row r="19">
      <c r="A19" s="62" t="inlineStr">
        <is>
          <t>GB39 분석 완료 — 최종 요약</t>
        </is>
      </c>
      <c r="B19" s="63" t="n"/>
      <c r="C19" s="63" t="n"/>
      <c r="D19" s="63" t="n"/>
      <c r="E19" s="63" t="n"/>
      <c r="F19" s="63" t="n"/>
      <c r="G19" s="64" t="n"/>
      <c r="H19" s="2" t="n"/>
      <c r="I19" s="2" t="n"/>
      <c r="J19" s="2" t="n"/>
      <c r="K19" s="2" t="n"/>
      <c r="L19" s="2" t="n"/>
    </row>
    <row r="20">
      <c r="A20" s="2" t="n"/>
      <c r="B20" s="2" t="n"/>
      <c r="C20" s="2" t="n"/>
      <c r="D20" s="2" t="n"/>
      <c r="E20" s="2" t="n"/>
      <c r="F20" s="2" t="n"/>
      <c r="G20" s="2" t="n"/>
      <c r="H20" s="2" t="n"/>
      <c r="I20" s="2" t="n"/>
      <c r="J20" s="2" t="n"/>
      <c r="K20" s="2" t="n"/>
      <c r="L20" s="2" t="n"/>
    </row>
    <row r="21">
      <c r="A21" s="27" t="inlineStr">
        <is>
          <t>최종 확정 해부학적 실체</t>
        </is>
      </c>
      <c r="B21" s="19" t="inlineStr">
        <is>
          <t>浅腓骨神經(L4-S1) 출현 전환 구역 + 비골단근·비골장근(Fibularis brevis/longus) + 비골동맥 관통지(Perforating branch of fibular a.)</t>
        </is>
      </c>
      <c r="C21" s="63" t="n"/>
      <c r="D21" s="63" t="n"/>
      <c r="E21" s="63" t="n"/>
      <c r="F21" s="63" t="n"/>
      <c r="G21" s="64" t="n"/>
      <c r="H21" s="2" t="n"/>
      <c r="I21" s="2" t="n"/>
      <c r="J21" s="2" t="n"/>
      <c r="K21" s="2" t="n"/>
      <c r="L21" s="2" t="n"/>
    </row>
    <row r="22">
      <c r="A22" s="27" t="inlineStr">
        <is>
          <t>핵심 이명 의의</t>
        </is>
      </c>
      <c r="B22" s="19" t="inlineStr">
        <is>
          <t>絶骨(절골) = 비골(腓骨)의 고대 이칭 → GB39가 비골 전연 위에 위치함을 직접 지칭하는 해부학적으로 가장 정확한 이명</t>
        </is>
      </c>
      <c r="C22" s="63" t="n"/>
      <c r="D22" s="63" t="n"/>
      <c r="E22" s="63" t="n"/>
      <c r="F22" s="63" t="n"/>
      <c r="G22" s="64" t="n"/>
      <c r="H22" s="2" t="n"/>
      <c r="I22" s="2" t="n"/>
      <c r="J22" s="2" t="n"/>
      <c r="K22" s="2" t="n"/>
      <c r="L22" s="2" t="n"/>
    </row>
    <row r="23">
      <c r="A23" s="27" t="inlineStr">
        <is>
          <t>촉진 랜드마크</t>
        </is>
      </c>
      <c r="B23" s="19" t="inlineStr">
        <is>
          <t>'動脈中' (《甲乙經》) = 비골동맥 관통지 박동 촉지점 → 2,000년 전 해부 관찰의 정확성 확인</t>
        </is>
      </c>
      <c r="C23" s="63" t="n"/>
      <c r="D23" s="63" t="n"/>
      <c r="E23" s="63" t="n"/>
      <c r="F23" s="63" t="n"/>
      <c r="G23" s="64" t="n"/>
      <c r="H23" s="2" t="n"/>
      <c r="I23" s="2" t="n"/>
      <c r="J23" s="2" t="n"/>
      <c r="K23" s="2" t="n"/>
      <c r="L23" s="2" t="n"/>
    </row>
    <row r="24">
      <c r="A24" s="27" t="inlineStr">
        <is>
          <t>자침 표준</t>
        </is>
      </c>
      <c r="B24" s="19" t="inlineStr">
        <is>
          <t>직자(90°) 6푼 = 13.8mm (고전 4문헌 전수 일치). 최대 8푼(18.4mm) = 비골 골막 도달. 비골 피질골 관통 절대 금지.</t>
        </is>
      </c>
      <c r="C24" s="63" t="n"/>
      <c r="D24" s="63" t="n"/>
      <c r="E24" s="63" t="n"/>
      <c r="F24" s="63" t="n"/>
      <c r="G24" s="64" t="n"/>
      <c r="H24" s="2" t="n"/>
      <c r="I24" s="2" t="n"/>
      <c r="J24" s="2" t="n"/>
      <c r="K24" s="2" t="n"/>
      <c r="L24" s="2" t="n"/>
    </row>
    <row r="25">
      <c r="A25" s="27" t="inlineStr">
        <is>
          <t>핵심 효능 기전</t>
        </is>
      </c>
      <c r="B25" s="19" t="inlineStr">
        <is>
          <t>頸項强痛·落枕: 체성-체성 반사 (浅腓骨神經 L4-S1 → C3-C5 경항부 근이완). 하지위비: 비골신경 직접 자극·운동점 활성.</t>
        </is>
      </c>
      <c r="C25" s="63" t="n"/>
      <c r="D25" s="63" t="n"/>
      <c r="E25" s="63" t="n"/>
      <c r="F25" s="63" t="n"/>
      <c r="G25" s="64" t="n"/>
      <c r="H25" s="2" t="n"/>
      <c r="I25" s="2" t="n"/>
      <c r="J25" s="2" t="n"/>
      <c r="K25" s="2" t="n"/>
      <c r="L25" s="2" t="n"/>
    </row>
    <row r="26">
      <c r="A26" s="27" t="inlineStr">
        <is>
          <t>ARI Score</t>
        </is>
      </c>
      <c r="B26" s="19" t="inlineStr">
        <is>
          <t>93.6점 (Class A) — 통고 5/5 완전 일치</t>
        </is>
      </c>
      <c r="C26" s="63" t="n"/>
      <c r="D26" s="63" t="n"/>
      <c r="E26" s="63" t="n"/>
      <c r="F26" s="63" t="n"/>
      <c r="G26" s="64" t="n"/>
      <c r="H26" s="2" t="n"/>
      <c r="I26" s="2" t="n"/>
      <c r="J26" s="2" t="n"/>
      <c r="K26" s="2" t="n"/>
      <c r="L26" s="2" t="n"/>
    </row>
    <row r="27">
      <c r="A27" s="27" t="inlineStr">
        <is>
          <t>분석 버전</t>
        </is>
      </c>
      <c r="B27" s="19" t="inlineStr">
        <is>
          <t>22대 Master ASIA Framework v22.0 / 분석일: 2026-07-31</t>
        </is>
      </c>
      <c r="C27" s="63" t="n"/>
      <c r="D27" s="63" t="n"/>
      <c r="E27" s="63" t="n"/>
      <c r="F27" s="63" t="n"/>
      <c r="G27" s="64" t="n"/>
      <c r="H27" s="2" t="n"/>
      <c r="I27" s="2" t="n"/>
      <c r="J27" s="2" t="n"/>
      <c r="K27" s="2" t="n"/>
      <c r="L27" s="2" t="n"/>
    </row>
    <row r="28">
      <c r="A28" s="2" t="n"/>
      <c r="B28" s="2" t="n"/>
      <c r="C28" s="2" t="n"/>
      <c r="D28" s="2" t="n"/>
      <c r="E28" s="2" t="n"/>
      <c r="F28" s="2" t="n"/>
      <c r="G28" s="2" t="n"/>
      <c r="H28" s="2" t="n"/>
      <c r="I28" s="2" t="n"/>
      <c r="J28" s="2" t="n"/>
      <c r="K28" s="2" t="n"/>
      <c r="L28" s="2" t="n"/>
    </row>
    <row r="29">
      <c r="A29" s="2" t="n"/>
      <c r="B29" s="2" t="n"/>
      <c r="C29" s="2" t="n"/>
      <c r="D29" s="2" t="n"/>
      <c r="E29" s="2" t="n"/>
      <c r="F29" s="2" t="n"/>
      <c r="G29" s="2" t="n"/>
      <c r="H29" s="2" t="n"/>
      <c r="I29" s="2" t="n"/>
      <c r="J29" s="2" t="n"/>
      <c r="K29" s="2" t="n"/>
      <c r="L29" s="2" t="n"/>
    </row>
    <row r="30">
      <c r="A30" s="2" t="n"/>
      <c r="B30" s="2" t="n"/>
      <c r="C30" s="2" t="n"/>
      <c r="D30" s="2" t="n"/>
      <c r="E30" s="2" t="n"/>
      <c r="F30" s="2" t="n"/>
      <c r="G30" s="2" t="n"/>
      <c r="H30" s="2" t="n"/>
      <c r="I30" s="2" t="n"/>
      <c r="J30" s="2" t="n"/>
      <c r="K30" s="2" t="n"/>
      <c r="L30" s="2" t="n"/>
    </row>
    <row r="31">
      <c r="A31" s="2" t="n"/>
      <c r="B31" s="2" t="n"/>
      <c r="C31" s="2" t="n"/>
      <c r="D31" s="2" t="n"/>
      <c r="E31" s="2" t="n"/>
      <c r="F31" s="2" t="n"/>
      <c r="G31" s="2" t="n"/>
      <c r="H31" s="2" t="n"/>
      <c r="I31" s="2" t="n"/>
      <c r="J31" s="2" t="n"/>
      <c r="K31" s="2" t="n"/>
      <c r="L31" s="2" t="n"/>
    </row>
    <row r="32">
      <c r="A32" s="2" t="n"/>
      <c r="B32" s="2" t="n"/>
      <c r="C32" s="2" t="n"/>
      <c r="D32" s="2" t="n"/>
      <c r="E32" s="2" t="n"/>
      <c r="F32" s="2" t="n"/>
      <c r="G32" s="2" t="n"/>
      <c r="H32" s="2" t="n"/>
      <c r="I32" s="2" t="n"/>
      <c r="J32" s="2" t="n"/>
      <c r="K32" s="2" t="n"/>
      <c r="L32" s="2" t="n"/>
    </row>
    <row r="33">
      <c r="A33" s="2" t="n"/>
      <c r="B33" s="2" t="n"/>
      <c r="C33" s="2" t="n"/>
      <c r="D33" s="2" t="n"/>
      <c r="E33" s="2" t="n"/>
      <c r="F33" s="2" t="n"/>
      <c r="G33" s="2" t="n"/>
      <c r="H33" s="2" t="n"/>
      <c r="I33" s="2" t="n"/>
      <c r="J33" s="2" t="n"/>
      <c r="K33" s="2" t="n"/>
      <c r="L33" s="2" t="n"/>
    </row>
    <row r="34">
      <c r="A34" s="2" t="n"/>
      <c r="B34" s="2" t="n"/>
      <c r="C34" s="2" t="n"/>
      <c r="D34" s="2" t="n"/>
      <c r="E34" s="2" t="n"/>
      <c r="F34" s="2" t="n"/>
      <c r="G34" s="2" t="n"/>
      <c r="H34" s="2" t="n"/>
      <c r="I34" s="2" t="n"/>
      <c r="J34" s="2" t="n"/>
      <c r="K34" s="2" t="n"/>
      <c r="L34" s="2" t="n"/>
    </row>
    <row r="35">
      <c r="A35" s="2" t="n"/>
      <c r="B35" s="2" t="n"/>
      <c r="C35" s="2" t="n"/>
      <c r="D35" s="2" t="n"/>
      <c r="E35" s="2" t="n"/>
      <c r="F35" s="2" t="n"/>
      <c r="G35" s="2" t="n"/>
      <c r="H35" s="2" t="n"/>
      <c r="I35" s="2" t="n"/>
      <c r="J35" s="2" t="n"/>
      <c r="K35" s="2" t="n"/>
      <c r="L35" s="2" t="n"/>
    </row>
    <row r="36">
      <c r="A36" s="2" t="n"/>
      <c r="B36" s="2" t="n"/>
      <c r="C36" s="2" t="n"/>
      <c r="D36" s="2" t="n"/>
      <c r="E36" s="2" t="n"/>
      <c r="F36" s="2" t="n"/>
      <c r="G36" s="2" t="n"/>
      <c r="H36" s="2" t="n"/>
      <c r="I36" s="2" t="n"/>
      <c r="J36" s="2" t="n"/>
      <c r="K36" s="2" t="n"/>
      <c r="L36" s="2" t="n"/>
    </row>
    <row r="37">
      <c r="A37" s="2" t="n"/>
      <c r="B37" s="2" t="n"/>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row r="41">
      <c r="A41" s="2" t="n"/>
      <c r="B41" s="2" t="n"/>
      <c r="C41" s="2" t="n"/>
      <c r="D41" s="2" t="n"/>
      <c r="E41" s="2" t="n"/>
      <c r="F41" s="2" t="n"/>
      <c r="G41" s="2" t="n"/>
      <c r="H41" s="2" t="n"/>
      <c r="I41" s="2" t="n"/>
      <c r="J41" s="2" t="n"/>
      <c r="K41" s="2" t="n"/>
      <c r="L41" s="2" t="n"/>
    </row>
    <row r="42">
      <c r="A42" s="2" t="n"/>
      <c r="B42" s="2" t="n"/>
      <c r="C42" s="2" t="n"/>
      <c r="D42" s="2" t="n"/>
      <c r="E42" s="2" t="n"/>
      <c r="F42" s="2" t="n"/>
      <c r="G42" s="2" t="n"/>
      <c r="H42" s="2" t="n"/>
      <c r="I42" s="2" t="n"/>
      <c r="J42" s="2" t="n"/>
      <c r="K42" s="2" t="n"/>
      <c r="L42" s="2" t="n"/>
    </row>
    <row r="43">
      <c r="A43" s="2" t="n"/>
      <c r="B43" s="2" t="n"/>
      <c r="C43" s="2" t="n"/>
      <c r="D43" s="2" t="n"/>
      <c r="E43" s="2" t="n"/>
      <c r="F43" s="2" t="n"/>
      <c r="G43" s="2" t="n"/>
      <c r="H43" s="2" t="n"/>
      <c r="I43" s="2" t="n"/>
      <c r="J43" s="2" t="n"/>
      <c r="K43" s="2" t="n"/>
      <c r="L43" s="2" t="n"/>
    </row>
    <row r="44">
      <c r="A44" s="2" t="n"/>
      <c r="B44" s="2" t="n"/>
      <c r="C44" s="2" t="n"/>
      <c r="D44" s="2" t="n"/>
      <c r="E44" s="2" t="n"/>
      <c r="F44" s="2" t="n"/>
      <c r="G44" s="2" t="n"/>
      <c r="H44" s="2" t="n"/>
      <c r="I44" s="2" t="n"/>
      <c r="J44" s="2" t="n"/>
      <c r="K44" s="2" t="n"/>
      <c r="L44" s="2" t="n"/>
    </row>
    <row r="45">
      <c r="A45" s="2" t="n"/>
      <c r="B45" s="2" t="n"/>
      <c r="C45" s="2" t="n"/>
      <c r="D45" s="2" t="n"/>
      <c r="E45" s="2" t="n"/>
      <c r="F45" s="2" t="n"/>
      <c r="G45" s="2" t="n"/>
      <c r="H45" s="2" t="n"/>
      <c r="I45" s="2" t="n"/>
      <c r="J45" s="2" t="n"/>
      <c r="K45" s="2" t="n"/>
      <c r="L45" s="2" t="n"/>
    </row>
    <row r="46">
      <c r="A46" s="2" t="n"/>
      <c r="B46" s="2" t="n"/>
      <c r="C46" s="2" t="n"/>
      <c r="D46" s="2" t="n"/>
      <c r="E46" s="2" t="n"/>
      <c r="F46" s="2" t="n"/>
      <c r="G46" s="2" t="n"/>
      <c r="H46" s="2" t="n"/>
      <c r="I46" s="2" t="n"/>
      <c r="J46" s="2" t="n"/>
      <c r="K46" s="2" t="n"/>
      <c r="L46" s="2" t="n"/>
    </row>
    <row r="47">
      <c r="A47" s="2" t="n"/>
      <c r="B47" s="2" t="n"/>
      <c r="C47" s="2" t="n"/>
      <c r="D47" s="2" t="n"/>
      <c r="E47" s="2" t="n"/>
      <c r="F47" s="2" t="n"/>
      <c r="G47" s="2" t="n"/>
      <c r="H47" s="2" t="n"/>
      <c r="I47" s="2" t="n"/>
      <c r="J47" s="2" t="n"/>
      <c r="K47" s="2" t="n"/>
      <c r="L47" s="2" t="n"/>
    </row>
    <row r="48">
      <c r="A48" s="2" t="n"/>
      <c r="B48" s="2" t="n"/>
      <c r="C48" s="2" t="n"/>
      <c r="D48" s="2" t="n"/>
      <c r="E48" s="2" t="n"/>
      <c r="F48" s="2" t="n"/>
      <c r="G48" s="2" t="n"/>
      <c r="H48" s="2" t="n"/>
      <c r="I48" s="2" t="n"/>
      <c r="J48" s="2" t="n"/>
      <c r="K48" s="2" t="n"/>
      <c r="L48" s="2" t="n"/>
    </row>
    <row r="49">
      <c r="A49" s="2" t="n"/>
      <c r="B49" s="2" t="n"/>
      <c r="C49" s="2" t="n"/>
      <c r="D49" s="2" t="n"/>
      <c r="E49" s="2" t="n"/>
      <c r="F49" s="2" t="n"/>
      <c r="G49" s="2" t="n"/>
      <c r="H49" s="2" t="n"/>
      <c r="I49" s="2" t="n"/>
      <c r="J49" s="2" t="n"/>
      <c r="K49" s="2" t="n"/>
      <c r="L49" s="2" t="n"/>
    </row>
    <row r="50">
      <c r="A50" s="2" t="n"/>
      <c r="B50" s="2" t="n"/>
      <c r="C50" s="2" t="n"/>
      <c r="D50" s="2" t="n"/>
      <c r="E50" s="2" t="n"/>
      <c r="F50" s="2" t="n"/>
      <c r="G50" s="2" t="n"/>
      <c r="H50" s="2" t="n"/>
      <c r="I50" s="2" t="n"/>
      <c r="J50" s="2" t="n"/>
      <c r="K50" s="2" t="n"/>
      <c r="L50" s="2" t="n"/>
    </row>
    <row r="51">
      <c r="A51" s="2" t="n"/>
      <c r="B51" s="2" t="n"/>
      <c r="C51" s="2" t="n"/>
      <c r="D51" s="2" t="n"/>
      <c r="E51" s="2" t="n"/>
      <c r="F51" s="2" t="n"/>
      <c r="G51" s="2" t="n"/>
      <c r="H51" s="2" t="n"/>
      <c r="I51" s="2" t="n"/>
      <c r="J51" s="2" t="n"/>
      <c r="K51" s="2" t="n"/>
      <c r="L51" s="2" t="n"/>
    </row>
    <row r="52">
      <c r="A52" s="2" t="n"/>
      <c r="B52" s="2" t="n"/>
      <c r="C52" s="2" t="n"/>
      <c r="D52" s="2" t="n"/>
      <c r="E52" s="2" t="n"/>
      <c r="F52" s="2" t="n"/>
      <c r="G52" s="2" t="n"/>
      <c r="H52" s="2" t="n"/>
      <c r="I52" s="2" t="n"/>
      <c r="J52" s="2" t="n"/>
      <c r="K52" s="2" t="n"/>
      <c r="L52" s="2" t="n"/>
    </row>
    <row r="53">
      <c r="A53" s="2" t="n"/>
      <c r="B53" s="2" t="n"/>
      <c r="C53" s="2" t="n"/>
      <c r="D53" s="2" t="n"/>
      <c r="E53" s="2" t="n"/>
      <c r="F53" s="2" t="n"/>
      <c r="G53" s="2" t="n"/>
      <c r="H53" s="2" t="n"/>
      <c r="I53" s="2" t="n"/>
      <c r="J53" s="2" t="n"/>
      <c r="K53" s="2" t="n"/>
      <c r="L53" s="2" t="n"/>
    </row>
    <row r="54">
      <c r="A54" s="2" t="n"/>
      <c r="B54" s="2" t="n"/>
      <c r="C54" s="2" t="n"/>
      <c r="D54" s="2" t="n"/>
      <c r="E54" s="2" t="n"/>
      <c r="F54" s="2" t="n"/>
      <c r="G54" s="2" t="n"/>
      <c r="H54" s="2" t="n"/>
      <c r="I54" s="2" t="n"/>
      <c r="J54" s="2" t="n"/>
      <c r="K54" s="2" t="n"/>
      <c r="L54" s="2" t="n"/>
    </row>
    <row r="55">
      <c r="A55" s="2" t="n"/>
      <c r="B55" s="2" t="n"/>
      <c r="C55" s="2" t="n"/>
      <c r="D55" s="2" t="n"/>
      <c r="E55" s="2" t="n"/>
      <c r="F55" s="2" t="n"/>
      <c r="G55" s="2" t="n"/>
      <c r="H55" s="2" t="n"/>
      <c r="I55" s="2" t="n"/>
      <c r="J55" s="2" t="n"/>
      <c r="K55" s="2" t="n"/>
      <c r="L55" s="2" t="n"/>
    </row>
    <row r="56">
      <c r="A56" s="2" t="n"/>
      <c r="B56" s="2" t="n"/>
      <c r="C56" s="2" t="n"/>
      <c r="D56" s="2" t="n"/>
      <c r="E56" s="2" t="n"/>
      <c r="F56" s="2" t="n"/>
      <c r="G56" s="2" t="n"/>
      <c r="H56" s="2" t="n"/>
      <c r="I56" s="2" t="n"/>
      <c r="J56" s="2" t="n"/>
      <c r="K56" s="2" t="n"/>
      <c r="L56" s="2" t="n"/>
    </row>
    <row r="57">
      <c r="A57" s="2" t="n"/>
      <c r="B57" s="2" t="n"/>
      <c r="C57" s="2" t="n"/>
      <c r="D57" s="2" t="n"/>
      <c r="E57" s="2" t="n"/>
      <c r="F57" s="2" t="n"/>
      <c r="G57" s="2" t="n"/>
      <c r="H57" s="2" t="n"/>
      <c r="I57" s="2" t="n"/>
      <c r="J57" s="2" t="n"/>
      <c r="K57" s="2" t="n"/>
      <c r="L57" s="2" t="n"/>
    </row>
    <row r="58">
      <c r="A58" s="2" t="n"/>
      <c r="B58" s="2" t="n"/>
      <c r="C58" s="2" t="n"/>
      <c r="D58" s="2" t="n"/>
      <c r="E58" s="2" t="n"/>
      <c r="F58" s="2" t="n"/>
      <c r="G58" s="2" t="n"/>
      <c r="H58" s="2" t="n"/>
      <c r="I58" s="2" t="n"/>
      <c r="J58" s="2" t="n"/>
      <c r="K58" s="2" t="n"/>
      <c r="L58" s="2" t="n"/>
    </row>
    <row r="59">
      <c r="A59" s="2" t="n"/>
      <c r="B59" s="2" t="n"/>
      <c r="C59" s="2" t="n"/>
      <c r="D59" s="2" t="n"/>
      <c r="E59" s="2" t="n"/>
      <c r="F59" s="2" t="n"/>
      <c r="G59" s="2" t="n"/>
      <c r="H59" s="2" t="n"/>
      <c r="I59" s="2" t="n"/>
      <c r="J59" s="2" t="n"/>
      <c r="K59" s="2" t="n"/>
      <c r="L59" s="2" t="n"/>
    </row>
    <row r="60">
      <c r="A60" s="2" t="n"/>
      <c r="B60" s="2" t="n"/>
      <c r="C60" s="2" t="n"/>
      <c r="D60" s="2" t="n"/>
      <c r="E60" s="2" t="n"/>
      <c r="F60" s="2" t="n"/>
      <c r="G60" s="2" t="n"/>
      <c r="H60" s="2" t="n"/>
      <c r="I60" s="2" t="n"/>
      <c r="J60" s="2" t="n"/>
      <c r="K60" s="2" t="n"/>
      <c r="L60" s="2" t="n"/>
    </row>
    <row r="61">
      <c r="A61" s="2" t="n"/>
      <c r="B61" s="2" t="n"/>
      <c r="C61" s="2" t="n"/>
      <c r="D61" s="2" t="n"/>
      <c r="E61" s="2" t="n"/>
      <c r="F61" s="2" t="n"/>
      <c r="G61" s="2" t="n"/>
      <c r="H61" s="2" t="n"/>
      <c r="I61" s="2" t="n"/>
      <c r="J61" s="2" t="n"/>
      <c r="K61" s="2" t="n"/>
      <c r="L61" s="2" t="n"/>
    </row>
    <row r="62">
      <c r="A62" s="2" t="n"/>
      <c r="B62" s="2" t="n"/>
      <c r="C62" s="2" t="n"/>
      <c r="D62" s="2" t="n"/>
      <c r="E62" s="2" t="n"/>
      <c r="F62" s="2" t="n"/>
      <c r="G62" s="2" t="n"/>
      <c r="H62" s="2" t="n"/>
      <c r="I62" s="2" t="n"/>
      <c r="J62" s="2" t="n"/>
      <c r="K62" s="2" t="n"/>
      <c r="L62" s="2" t="n"/>
    </row>
    <row r="63">
      <c r="A63" s="2" t="n"/>
      <c r="B63" s="2" t="n"/>
      <c r="C63" s="2" t="n"/>
      <c r="D63" s="2" t="n"/>
      <c r="E63" s="2" t="n"/>
      <c r="F63" s="2" t="n"/>
      <c r="G63" s="2" t="n"/>
      <c r="H63" s="2" t="n"/>
      <c r="I63" s="2" t="n"/>
      <c r="J63" s="2" t="n"/>
      <c r="K63" s="2" t="n"/>
      <c r="L63" s="2" t="n"/>
    </row>
    <row r="64">
      <c r="A64" s="2" t="n"/>
      <c r="B64" s="2" t="n"/>
      <c r="C64" s="2" t="n"/>
      <c r="D64" s="2" t="n"/>
      <c r="E64" s="2" t="n"/>
      <c r="F64" s="2" t="n"/>
      <c r="G64" s="2" t="n"/>
      <c r="H64" s="2" t="n"/>
      <c r="I64" s="2" t="n"/>
      <c r="J64" s="2" t="n"/>
      <c r="K64" s="2" t="n"/>
      <c r="L64" s="2" t="n"/>
    </row>
    <row r="65">
      <c r="A65" s="2" t="n"/>
      <c r="B65" s="2" t="n"/>
      <c r="C65" s="2" t="n"/>
      <c r="D65" s="2" t="n"/>
      <c r="E65" s="2" t="n"/>
      <c r="F65" s="2" t="n"/>
      <c r="G65" s="2" t="n"/>
      <c r="H65" s="2" t="n"/>
      <c r="I65" s="2" t="n"/>
      <c r="J65" s="2" t="n"/>
      <c r="K65" s="2" t="n"/>
      <c r="L65" s="2" t="n"/>
    </row>
    <row r="66">
      <c r="A66" s="2" t="n"/>
      <c r="B66" s="2" t="n"/>
      <c r="C66" s="2" t="n"/>
      <c r="D66" s="2" t="n"/>
      <c r="E66" s="2" t="n"/>
      <c r="F66" s="2" t="n"/>
      <c r="G66" s="2" t="n"/>
      <c r="H66" s="2" t="n"/>
      <c r="I66" s="2" t="n"/>
      <c r="J66" s="2" t="n"/>
      <c r="K66" s="2" t="n"/>
      <c r="L66" s="2" t="n"/>
    </row>
    <row r="67">
      <c r="A67" s="2" t="n"/>
      <c r="B67" s="2" t="n"/>
      <c r="C67" s="2" t="n"/>
      <c r="D67" s="2" t="n"/>
      <c r="E67" s="2" t="n"/>
      <c r="F67" s="2" t="n"/>
      <c r="G67" s="2" t="n"/>
      <c r="H67" s="2" t="n"/>
      <c r="I67" s="2" t="n"/>
      <c r="J67" s="2" t="n"/>
      <c r="K67" s="2" t="n"/>
      <c r="L67" s="2" t="n"/>
    </row>
    <row r="68">
      <c r="A68" s="2" t="n"/>
      <c r="B68" s="2" t="n"/>
      <c r="C68" s="2" t="n"/>
      <c r="D68" s="2" t="n"/>
      <c r="E68" s="2" t="n"/>
      <c r="F68" s="2" t="n"/>
      <c r="G68" s="2" t="n"/>
      <c r="H68" s="2" t="n"/>
      <c r="I68" s="2" t="n"/>
      <c r="J68" s="2" t="n"/>
      <c r="K68" s="2" t="n"/>
      <c r="L68" s="2" t="n"/>
    </row>
    <row r="69">
      <c r="A69" s="2" t="n"/>
      <c r="B69" s="2" t="n"/>
      <c r="C69" s="2" t="n"/>
      <c r="D69" s="2" t="n"/>
      <c r="E69" s="2" t="n"/>
      <c r="F69" s="2" t="n"/>
      <c r="G69" s="2" t="n"/>
      <c r="H69" s="2" t="n"/>
      <c r="I69" s="2" t="n"/>
      <c r="J69" s="2" t="n"/>
      <c r="K69" s="2" t="n"/>
      <c r="L69" s="2" t="n"/>
    </row>
    <row r="70">
      <c r="A70" s="2" t="n"/>
      <c r="B70" s="2" t="n"/>
      <c r="C70" s="2" t="n"/>
      <c r="D70" s="2" t="n"/>
      <c r="E70" s="2" t="n"/>
      <c r="F70" s="2" t="n"/>
      <c r="G70" s="2" t="n"/>
      <c r="H70" s="2" t="n"/>
      <c r="I70" s="2" t="n"/>
      <c r="J70" s="2" t="n"/>
      <c r="K70" s="2" t="n"/>
      <c r="L70" s="2" t="n"/>
    </row>
  </sheetData>
  <mergeCells count="12">
    <mergeCell ref="B24:G24"/>
    <mergeCell ref="A1:G1"/>
    <mergeCell ref="B22:G22"/>
    <mergeCell ref="F10:G10"/>
    <mergeCell ref="A3:G3"/>
    <mergeCell ref="B23:G23"/>
    <mergeCell ref="A12:G12"/>
    <mergeCell ref="B27:G27"/>
    <mergeCell ref="B26:G26"/>
    <mergeCell ref="B21:G21"/>
    <mergeCell ref="A19:G19"/>
    <mergeCell ref="B25:G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65" t="inlineStr">
        <is>
          <t>Target</t>
        </is>
      </c>
      <c r="B1" s="65" t="inlineStr">
        <is>
          <t>지표</t>
        </is>
      </c>
      <c r="C1" s="65" t="inlineStr">
        <is>
          <t>채점자 A</t>
        </is>
      </c>
      <c r="D1" s="65" t="inlineStr">
        <is>
          <t>채점자 B</t>
        </is>
      </c>
      <c r="E1" s="65" t="inlineStr">
        <is>
          <t>평균</t>
        </is>
      </c>
      <c r="F1" s="65" t="inlineStr">
        <is>
          <t>근거 요지(A)</t>
        </is>
      </c>
      <c r="G1" s="65" t="inlineStr">
        <is>
          <t>근거 포인터</t>
        </is>
      </c>
    </row>
    <row r="2">
      <c r="A2" t="inlineStr">
        <is>
          <t>T1 고전 맥동점(外踝上三寸 動者脈中, 按之陽明脈絶 = 앞정강동맥)</t>
        </is>
      </c>
      <c r="B2" t="inlineStr">
        <is>
          <t>S_orig</t>
        </is>
      </c>
      <c r="C2" t="n">
        <v>68.75</v>
      </c>
      <c r="D2" t="n">
        <v>68.75</v>
      </c>
      <c r="E2" t="n">
        <v>68.75</v>
      </c>
      <c r="F2" t="inlineStr">
        <is>
          <t>① 《黄帝明堂经》(통고 (下)_321-400.md 421·542행, 통감 (下卷)_161-240.md 54행 甲乙 3:55 '足外踝上三寸動者脈中…按之陽明脈絶乃取之')은 맥동+족배동맥 소실이라는 조작적 취혈 기준과 자침 6푼(자침깊이 DB 342행)을 주므로 명확하나, 경골측/비골측 X좌표는 '按之陽明脈絶'에서 추론해야 하므로(통고 431행 '宜略偏向胫侧') 75. ② '動脈中/動者中' 문구는 송~명 12종 서적(통고 定位 1항)·《窦太师》·《乾坤生意》·《医宗金鉴》·《类经图翼》 '骨尖前动脉中'에 잔존하나, 《千金》 이후 '宛宛中'·'绝骨尖间筋骨缝中'·腓骨前/后缘(통편교재 2~7판)으로 실제 위치가 비골측으로 이동(통고 435행 '名实分离')하여 T1 해석과의 실질 일치율은 40~59% 수준 → 50. ③ 绝骨</t>
        </is>
      </c>
      <c r="G2" t="inlineStr">
        <is>
          <t>통고(下)_321-400 L414-437·529-658; 통감(下卷)_161-240 L54-132</t>
        </is>
      </c>
    </row>
    <row r="3">
      <c r="A3" t="inlineStr">
        <is>
          <t>T1 고전 맥동점(外踝上三寸 動者脈中, 按之陽明脈絶 = 앞정강동맥)</t>
        </is>
      </c>
      <c r="B3" t="inlineStr">
        <is>
          <t>S_clarity</t>
        </is>
      </c>
      <c r="C3" t="inlineStr">
        <is>
          <t>50 (조정 전 75)</t>
        </is>
      </c>
      <c r="D3" t="n">
        <v>50</v>
      </c>
      <c r="E3" t="n">
        <v>50</v>
      </c>
      <c r="F3" t="inlineStr">
        <is>
          <t>T1 실체 = 하퇴 원위 1/3에서 전경골근건과 긴엄지폄근건 사이, 경골 외측면·골간막 앞을 주행하는 전경골동·정맥 + 동반 깊은종아리신경(B1-01, B1-03, B1-06: 이 부위 전경골동맥은 마른 사람에서 촉지 가능하고 압박 시 족배동맥 박동 감소 — '按之陽明脈絶'과 생리적으로 정합). 2대 교재 모두 GB39 혈관에 '전경골동·정맥(anterior tibial artery and vein)'을 등재(공통교재 342행, 김재효 342행: 깊은/얕은종아리신경 공통)하여 구조 수준은 일치. 그러나 교재의 정위 문구 자체는 비골 전연(WHO)이어서 좌표는 T1과 다르고, T1 위치를 사체·초음파·MRI로 실측한 PMID 논문은 Layer A에 없음(papers.id 1624 'Location of acu</t>
        </is>
      </c>
      <c r="G3" t="inlineStr">
        <is>
          <t>B1-01·B1-03·B1-06; 교재 xlsx 343행; papers.id 1624</t>
        </is>
      </c>
    </row>
    <row r="4">
      <c r="A4" t="inlineStr">
        <is>
          <t>T1 고전 맥동점(外踝上三寸 動者脈中, 按之陽明脈絶 = 앞정강동맥)</t>
        </is>
      </c>
      <c r="B4" t="inlineStr">
        <is>
          <t>S_reflex</t>
        </is>
      </c>
      <c r="C4" t="n">
        <v>25</v>
      </c>
      <c r="D4" t="n">
        <v>25</v>
      </c>
      <c r="E4" t="n">
        <v>25</v>
      </c>
      <c r="F4" t="inlineStr">
        <is>
          <t>Layer A의 GB39 논문(1902 RCT, 1903·1910·1915 동물, 1911·1612 등)은 모두 현대 WHO 비골측 정위에 자침한 연구로 T1(경골측 전경골동맥 박동점) 자체의 기전 연구가 아니므로 T1 기준 해당 경혈 Layer A = 0편 → 게이트 2 적용, 25. 참고로 papers.id 1904(Am J Physiol 2002, 마취 고양이 위팽창 승압반사)는 깊은종아리신경 위 ST36-37 전침이 효과적이고 얕은종아리신경 위 GB37-39는 효과가 약했다고 보고된 계열 연구로 알려져 있어(원문 미확인), T1이 깊은종아리신경·족양명 쪽 실체라는 해석과 《明堂》 원주치(腹满, 胃中有热, 不嗜食)를 간접적으로 지지할 수 있으나 다른 경혈·동물 근거이므로 B-Check 유추 근거로만 사</t>
        </is>
      </c>
      <c r="G4" t="inlineStr">
        <is>
          <t>B-Check 5/12; T1 Layer A 0편(게이트 2); 1904 유추</t>
        </is>
      </c>
    </row>
    <row r="5">
      <c r="A5" t="inlineStr">
        <is>
          <t>T1 고전 맥동점(外踝上三寸 動者脈中, 按之陽明脈絶 = 앞정강동맥)</t>
        </is>
      </c>
      <c r="B5" t="inlineStr">
        <is>
          <t>S_safety → SI</t>
        </is>
      </c>
      <c r="C5" t="n">
        <v>50</v>
      </c>
      <c r="D5" t="n">
        <v>50</v>
      </c>
      <c r="E5" t="n">
        <v>50</v>
      </c>
      <c r="F5" t="inlineStr">
        <is>
          <t>자침깊이 DB 342행: 《黄帝明堂经》·《甲乙经》·《针灸经验方》·《东医宝鉴》 6푼 = 13.8mm, 현대 교재·《通考》 5~8푼 = 11.5~18.4mm, 금침('0') 없음. T1은 정의상 '動者中', 즉 동맥 박동점 바로 위이며 외과 상 3촌 수준 전경골동맥·깊은종아리신경은 피부·근막·신근지지대 아래 약 10~20mm(체형 의존) 깊이에 있어 6푼 직자로 Layer 4 신경혈관속에 직접 도달 가능. 고전에 각도 제한은 없고 심도 상한(6푼)만 있음. 심부 장기 위험은 없으나 동맥 천자·혈종 위험이 있어 박동 촉지 후 동맥 비껴 자침 또는 심도 ≤ 10mm 제한 필요 → 50.</t>
        </is>
      </c>
      <c r="G5" t="inlineStr">
        <is>
          <t>자침깊이 DB 344행</t>
        </is>
      </c>
    </row>
    <row r="6">
      <c r="A6" t="inlineStr">
        <is>
          <t>T1 고전 맥동점(外踝上三寸 動者脈中, 按之陽明脈絶 = 앞정강동맥)</t>
        </is>
      </c>
      <c r="B6" t="inlineStr">
        <is>
          <t>S_orig 하위 ① 최초 기술 명확성</t>
        </is>
      </c>
      <c r="C6" t="n">
        <v>75</v>
      </c>
      <c r="D6" t="n">
        <v>75</v>
      </c>
      <c r="E6" t="n">
        <v>75</v>
      </c>
    </row>
    <row r="7">
      <c r="A7" t="inlineStr">
        <is>
          <t>T1 고전 맥동점(外踝上三寸 動者脈中, 按之陽明脈絶 = 앞정강동맥)</t>
        </is>
      </c>
      <c r="B7" t="inlineStr">
        <is>
          <t>S_orig 하위 ② 후대 문헌 일치율</t>
        </is>
      </c>
      <c r="C7" t="n">
        <v>50</v>
      </c>
      <c r="D7" t="n">
        <v>50</v>
      </c>
      <c r="E7" t="n">
        <v>50</v>
      </c>
    </row>
    <row r="8">
      <c r="A8" t="inlineStr">
        <is>
          <t>T1 고전 맥동점(外踝上三寸 動者脈中, 按之陽明脈絶 = 앞정강동맥)</t>
        </is>
      </c>
      <c r="B8" t="inlineStr">
        <is>
          <t>S_orig 하위 ③ 이명 혼용 해소</t>
        </is>
      </c>
      <c r="C8" t="n">
        <v>75</v>
      </c>
      <c r="D8" t="n">
        <v>75</v>
      </c>
      <c r="E8" t="n">
        <v>75</v>
      </c>
    </row>
    <row r="9">
      <c r="A9" t="inlineStr">
        <is>
          <t>T1 고전 맥동점(外踝上三寸 動者脈中, 按之陽明脈絶 = 앞정강동맥)</t>
        </is>
      </c>
      <c r="B9" t="inlineStr">
        <is>
          <t>S_orig 하위 ④ 通考 교감</t>
        </is>
      </c>
      <c r="C9" t="n">
        <v>75</v>
      </c>
      <c r="D9" t="n">
        <v>75</v>
      </c>
      <c r="E9" t="n">
        <v>75</v>
      </c>
    </row>
    <row r="10">
      <c r="A10" t="inlineStr">
        <is>
          <t>T2 WHO 비골 전연(外踝尖上3寸, 腓骨前緣)</t>
        </is>
      </c>
      <c r="B10" t="inlineStr">
        <is>
          <t>S_orig</t>
        </is>
      </c>
      <c r="C10" t="n">
        <v>62.5</v>
      </c>
      <c r="D10" t="n">
        <v>62.5</v>
      </c>
      <c r="E10" t="n">
        <v>62.5</v>
      </c>
      <c r="F10" t="inlineStr">
        <is>
          <t xml:space="preserve">① 《黃帝明堂經》(갑을경 경유) '在足外踝上三寸動者中, 足三陽絡, 按之陽明脈絶乃取之', '刺入六分'으로 Y축·심도·촉진 검증법은 명확하나 X축(비골 전연/후연/경비골 사이)을 골성 지표로 지정하지 않아 후대 위치 분쟁의 원인이 됨(针灸腧穴通考(下)_321-400.md 529행 이하 【名实考】·【定位】). ② '外踝上三寸動(者)脈中' 문구는 12종 이상에서 반복되나 X축 기술은 '宛宛中'(圣惠方)·'尋摸尖骨'·'絶骨間尖筋骨縫中'(聚英·大成, 후연측)·'腓骨后缘'(2·4·5版 교재)·'腓骨前缘'(6·7版, GB 1990/2006)으로 갈리고, 주치도 명당경 위병(腹满·胃中有热·不嗜食)에서 절골·양보 주치로 대체되어 실질 일치율은 40~59% 수준. ③ '絶骨'은 명당경에 없는 이름으로, 초기에는 외과 상 7촌 </t>
        </is>
      </c>
      <c r="G10" t="inlineStr">
        <is>
          <t>통고 L529-658; KJH 344·345행</t>
        </is>
      </c>
    </row>
    <row r="11">
      <c r="A11" t="inlineStr">
        <is>
          <t>T2 WHO 비골 전연(外踝尖上3寸, 腓骨前緣)</t>
        </is>
      </c>
      <c r="B11" t="inlineStr">
        <is>
          <t>S_clarity</t>
        </is>
      </c>
      <c r="C11" t="n">
        <v>50</v>
      </c>
      <c r="D11" t="n">
        <v>50</v>
      </c>
      <c r="E11" t="n">
        <v>50</v>
      </c>
      <c r="F11" t="inlineStr">
        <is>
          <t>Layer A에 GB39 해당 사체·초음파·MRI 실측 논문(PMID)이 없음(1624는 문헌 고찰형 정위 논문, PMID 없음; 1913은 MTrP 초음파 유도 임상으로 GB39 실측 아님) → 최대 75. 2대 교재는 얕은·깊은종아리신경, 앞정강동정맥, 긴발가락폄근·긴엄지폄근·짧은종아리근을 공유하나, 김재효 데이터셋은 종아리동맥·관통가지·긴엄지굽힘근(후구획 구조)을 추가하고 공통교재는 긴종아리근을 포함하여 전연/후연 정위 개념이 혼재된 불일치가 있음. 더욱이 고전 촉진 지표 '動者中·按之陽明脈絶'은 《通考》에 따르면 앞정강동맥(족배동맥 상류)이며 현행 비골 전연에서는 박동·족배맥 소실이 재현되지 않는다고 명시되어, 촉진 랜드마크와 표준 좌표의 부합이 추론 조정 수준에 머묾. 보고서의 '비골동맥 관통지=動</t>
        </is>
      </c>
      <c r="G11" t="inlineStr">
        <is>
          <t>교재 xlsx 343행; 통고 L552</t>
        </is>
      </c>
    </row>
    <row r="12">
      <c r="A12" t="inlineStr">
        <is>
          <t>T2 WHO 비골 전연(外踝尖上3寸, 腓骨前緣)</t>
        </is>
      </c>
      <c r="B12" t="inlineStr">
        <is>
          <t>S_reflex</t>
        </is>
      </c>
      <c r="C12" t="n">
        <v>50</v>
      </c>
      <c r="D12" t="n">
        <v>50</v>
      </c>
      <c r="E12" t="n">
        <v>50</v>
      </c>
      <c r="F12" t="inlineStr">
        <is>
          <t>GB39가 포함된 Layer A 기전 연구는 모두 복합 혈위: 동물 1903(ST36+GB39 전침, 보조제 관절염 쥐), 1615(GB39·GB34 전침/레이저침, 신경병증성 통증 쥐), 1610(GB39 등 뇌영역 투사 신경추적, 동물); 인체 1612(GB34-GB39 전침의 뇌경색 환자·정상인 뇌혈류, 비RCT 생리), 1902(CIPN 예방 전침 RCT, 다혈위). GB39 단독 효과를 분리한 인체 연구는 없고, 보고서 핵심 P_single(頸項强痛·落枕)에 대한 기전 연구는 Layer A에 없음. 인체 근거가 일부 있으나 B-Check 6/12로 ≥8 미충족이어서 75 불가, 50 단계 적용. 종설·데이터마이닝(1842, 1905, 1845, 1922)은 불산입.</t>
        </is>
      </c>
      <c r="G12" t="inlineStr">
        <is>
          <t>papers.id 1610·1612·1615·1902·1903; B-Check 6/12</t>
        </is>
      </c>
    </row>
    <row r="13">
      <c r="A13" t="inlineStr">
        <is>
          <t>T2 WHO 비골 전연(外踝尖上3寸, 腓骨前緣)</t>
        </is>
      </c>
      <c r="B13" t="inlineStr">
        <is>
          <t>S_safety → SI</t>
        </is>
      </c>
      <c r="C13" t="n">
        <v>75</v>
      </c>
      <c r="D13" t="n">
        <v>75</v>
      </c>
      <c r="E13" t="n">
        <v>75</v>
      </c>
      <c r="F13" t="inlineStr">
        <is>
          <t>자침깊이 DB 342행 GB39: 고전 6푼(13.8mm; 명당경·갑을경·경험방·동의보감), 현대 교재·통고 5~8푼(11.5~18.4mm), 금침('0') 없음. 직자 표준 범위는 Layer 2~3(종아리근·긴발가락폄근, 비골 전연 골막 근접)이며 심부 장기 없음. 다만 고전 정위(앞정강동맥 박동처)로 취혈하거나 깊게 자입하면 Layer 4 앞정강동정맥·깊은종아리신경에 접근 가능하고, 《窦太师针经》 '针入二寸半'(57.5mm)·《窦太师秘传》 '针透三阴交' 횡투자는 하퇴 전후 구획을 관통하여 종아리동맥까지 도달 가능. 각도·심도 제한(직자 0.5~0.8촌)으로 회피 가능하므로 75. 천비골신경은 피하(Layer 1~2)에서 직접 접촉 가능.</t>
        </is>
      </c>
      <c r="G13" t="inlineStr">
        <is>
          <t>자침깊이 DB 344행; 통감 L250-260</t>
        </is>
      </c>
    </row>
    <row r="14">
      <c r="A14" t="inlineStr">
        <is>
          <t>T2 WHO 비골 전연(外踝尖上3寸, 腓骨前緣)</t>
        </is>
      </c>
      <c r="B14" t="inlineStr">
        <is>
          <t>S_orig 하위 ① 최초 기술 명확성</t>
        </is>
      </c>
      <c r="C14" t="n">
        <v>75</v>
      </c>
      <c r="D14" t="n">
        <v>75</v>
      </c>
      <c r="E14" t="n">
        <v>75</v>
      </c>
    </row>
    <row r="15">
      <c r="A15" t="inlineStr">
        <is>
          <t>T2 WHO 비골 전연(外踝尖上3寸, 腓骨前緣)</t>
        </is>
      </c>
      <c r="B15" t="inlineStr">
        <is>
          <t>S_orig 하위 ② 후대 문헌 일치율</t>
        </is>
      </c>
      <c r="C15" t="n">
        <v>50</v>
      </c>
      <c r="D15" t="n">
        <v>50</v>
      </c>
      <c r="E15" t="n">
        <v>50</v>
      </c>
    </row>
    <row r="16">
      <c r="A16" t="inlineStr">
        <is>
          <t>T2 WHO 비골 전연(外踝尖上3寸, 腓骨前緣)</t>
        </is>
      </c>
      <c r="B16" t="inlineStr">
        <is>
          <t>S_orig 하위 ③ 이명 혼용 해소</t>
        </is>
      </c>
      <c r="C16" t="n">
        <v>50</v>
      </c>
      <c r="D16" t="n">
        <v>50</v>
      </c>
      <c r="E16" t="n">
        <v>50</v>
      </c>
    </row>
    <row r="17">
      <c r="A17" t="inlineStr">
        <is>
          <t>T2 WHO 비골 전연(外踝尖上3寸, 腓骨前緣)</t>
        </is>
      </c>
      <c r="B17" t="inlineStr">
        <is>
          <t>S_orig 하위 ④ 通考 교감</t>
        </is>
      </c>
      <c r="C17" t="n">
        <v>75</v>
      </c>
      <c r="D17" t="n">
        <v>75</v>
      </c>
      <c r="E17" t="n">
        <v>75</v>
      </c>
    </row>
    <row r="19">
      <c r="A19" s="65" t="inlineStr">
        <is>
          <t>Target</t>
        </is>
      </c>
      <c r="B19" s="65" t="inlineStr">
        <is>
          <t>게이트</t>
        </is>
      </c>
      <c r="C19" s="65" t="inlineStr">
        <is>
          <t>ARI-Core</t>
        </is>
      </c>
      <c r="D19" s="65" t="inlineStr">
        <is>
          <t>± 반범위</t>
        </is>
      </c>
      <c r="E19" s="65" t="inlineStr">
        <is>
          <t>등급·표지</t>
        </is>
      </c>
      <c r="F19" s="65" t="inlineStr">
        <is>
          <t>SI</t>
        </is>
      </c>
      <c r="G19" s="65" t="inlineStr">
        <is>
          <t>등가중치 민감도</t>
        </is>
      </c>
      <c r="H19" s="65" t="inlineStr">
        <is>
          <t>가중치 민감</t>
        </is>
      </c>
      <c r="I19" s="65" t="inlineStr">
        <is>
          <t>표기</t>
        </is>
      </c>
    </row>
    <row r="20">
      <c r="A20" t="inlineStr">
        <is>
          <t>T1 고전 맥동점(外踝上三寸 動者脈中, 按之陽明脈絶 = 앞정강동맥)</t>
        </is>
      </c>
      <c r="B20" t="inlineStr">
        <is>
          <t>게이트2(경혈 특이 Layer A 0편 → S_reflex ≤ 25, H)</t>
        </is>
      </c>
      <c r="C20" t="n">
        <v>51.2</v>
      </c>
      <c r="D20" t="n">
        <v>0</v>
      </c>
      <c r="E20" t="inlineStr">
        <is>
          <t>D·H</t>
        </is>
      </c>
      <c r="F20" t="n">
        <v>50</v>
      </c>
      <c r="G20" t="inlineStr">
        <is>
          <t>47.9 (D)</t>
        </is>
      </c>
      <c r="H20" t="inlineStr">
        <is>
          <t>아니오</t>
        </is>
      </c>
      <c r="I20" t="inlineStr">
        <is>
          <t>ARI v3.0 | ARI-Core 51.2 ± 0 (D·H) | SI 50 | 잠정 가중치 0.40/0.35/0.25 | 민감도(등가중치): 47.9 (D, 등급 불변)</t>
        </is>
      </c>
    </row>
    <row r="21">
      <c r="A21" t="inlineStr">
        <is>
          <t>T2 WHO 비골 전연(外踝尖上3寸, 腓骨前緣)</t>
        </is>
      </c>
      <c r="B21" t="inlineStr">
        <is>
          <t>해당 없음</t>
        </is>
      </c>
      <c r="C21" t="n">
        <v>55</v>
      </c>
      <c r="D21" t="n">
        <v>0</v>
      </c>
      <c r="E21" t="inlineStr">
        <is>
          <t>C</t>
        </is>
      </c>
      <c r="F21" t="n">
        <v>75</v>
      </c>
      <c r="G21" t="inlineStr">
        <is>
          <t>54.2 (D)</t>
        </is>
      </c>
      <c r="H21" t="inlineStr">
        <is>
          <t>예</t>
        </is>
      </c>
      <c r="I21" t="inlineStr">
        <is>
          <t>ARI v3.0 | ARI-Core 55 ± 0 (C) | SI 75 | 잠정 가중치 0.40/0.35/0.25 | 민감도(등가중치): 54.2 (D, 등급 변동 → 가중치 민감)</t>
        </is>
      </c>
    </row>
    <row r="23">
      <c r="A23" t="inlineStr">
        <is>
          <t>분기 판정</t>
        </is>
      </c>
      <c r="B23" t="inlineStr">
        <is>
          <t>Δ_discrepancy ≈ 20~35mm (&gt;15mm, 채점자 2인 독립 추정) → 분기</t>
        </is>
      </c>
      <c r="C23" t="inlineStr">
        <is>
          <t>ΔARI-Core</t>
        </is>
      </c>
      <c r="D23" t="inlineStr">
        <is>
          <t>3.8</t>
        </is>
      </c>
      <c r="E23" t="inlineStr">
        <is>
          <t>&lt; 10 → 우위 Target 없음, 두 Target 병기</t>
        </is>
      </c>
    </row>
    <row r="24">
      <c r="A24" t="inlineStr">
        <is>
          <t>조정 기록</t>
        </is>
      </c>
      <c r="B24" t="inlineStr">
        <is>
          <t>T1 S_clarity A 75 / B 50 → A를 50으로 조정</t>
        </is>
      </c>
      <c r="C24" t="inlineStr">
        <is>
          <t>분기 근거: 두 채점자 독립 추정 Δ ≈ 20~35mm(중앙값 약 25mm) &gt; 15mm → 정본 Rank 5에 따라 T1(고전 맥동점)·T2(WHO 비골 전연) 분기. T1 S_clarity 25점 불일치(A 75 / B 50): 두 교재의 앞정강동·정맥 기재는 WHO 위치 심층 구조 기술이며 고전 맥동점 자체의 실측·교재 일치가 아니므로 정본 4.2의 50단계('교재와 정위 불일치를 추론으로 조정')를 적용해 A를 50으로 조정. conflicts(papers.id 1624: 이 높이에서 박동 촉지가 어렵다는 보고)는 정위 쟁점이며 기전 상충이 아님.</t>
        </is>
      </c>
    </row>
    <row r="25">
      <c r="A25" t="inlineStr">
        <is>
          <t>조정 기록</t>
        </is>
      </c>
      <c r="B25" t="inlineStr">
        <is>
          <t>T2</t>
        </is>
      </c>
      <c r="C25" t="inlineStr">
        <is>
          <t>15점 이상 불일치 없음. 기존 보고서의 'L4-S1→C3-C5 체성-체성 이완 반사'는 근거 없는 서술로 삭제 대상(B-Check 반영 안 함). 頸項强 주치는 《千金》 '絶骨' 주치 혼입(Rank 3).</t>
        </is>
      </c>
    </row>
    <row r="26">
      <c r="A26" t="inlineStr">
        <is>
          <t>구판</t>
        </is>
      </c>
      <c r="B26" t="inlineStr">
        <is>
          <t>구판 v2.6 점수 93.6(비교 불가)</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65" t="inlineStr">
        <is>
          <t>Target</t>
        </is>
      </c>
      <c r="B1" s="65" t="inlineStr">
        <is>
          <t>항목</t>
        </is>
      </c>
      <c r="C1" s="65" t="inlineStr">
        <is>
          <t>채점자 A</t>
        </is>
      </c>
      <c r="D1" s="65" t="inlineStr">
        <is>
          <t>채점자 B</t>
        </is>
      </c>
      <c r="E1" s="65" t="inlineStr">
        <is>
          <t>최종</t>
        </is>
      </c>
      <c r="F1" s="65" t="inlineStr">
        <is>
          <t>Layer B 참조 ID</t>
        </is>
      </c>
      <c r="G1" s="65" t="inlineStr">
        <is>
          <t>papers.id</t>
        </is>
      </c>
      <c r="H1" s="65" t="inlineStr">
        <is>
          <t>근거(A)</t>
        </is>
      </c>
      <c r="I1" s="65" t="inlineStr">
        <is>
          <t>근거(B)</t>
        </is>
      </c>
    </row>
    <row r="2">
      <c r="A2" t="inlineStr">
        <is>
          <t>T1</t>
        </is>
      </c>
      <c r="B2" t="n">
        <v>1</v>
      </c>
      <c r="C2" t="n">
        <v>1</v>
      </c>
      <c r="D2" t="n">
        <v>1</v>
      </c>
      <c r="E2" t="n">
        <v>1</v>
      </c>
      <c r="F2" t="inlineStr">
        <is>
          <t>B1-01, B1-03, B1-06, B2-09</t>
        </is>
      </c>
      <c r="G2" t="inlineStr">
        <is>
          <t>1624</t>
        </is>
      </c>
      <c r="H2" t="inlineStr">
        <is>
          <t>전경골동·정맥 + 깊은종아리신경은 규범 해부서와 2대 교재(전경골동맥 등재)로 확인되나 T1 위치 특이 실측(B2 영상·사체)이 없어 1.</t>
        </is>
      </c>
      <c r="I2" t="inlineStr">
        <is>
          <t>T1 실체 = 전경골동맥+심비골신경(L4-L5)이라는 해석은 규범 해부와 통감·통고 해석으로 지지되나 혈위 특이 심도 실측 없음, 1624는 박동 촉지 곤란을 지적 → 1</t>
        </is>
      </c>
    </row>
    <row r="3">
      <c r="A3" t="inlineStr">
        <is>
          <t>T1</t>
        </is>
      </c>
      <c r="B3" t="n">
        <v>2</v>
      </c>
      <c r="C3" t="n">
        <v>1</v>
      </c>
      <c r="D3" t="n">
        <v>1</v>
      </c>
      <c r="E3" t="n">
        <v>1</v>
      </c>
      <c r="F3" t="inlineStr">
        <is>
          <t>B1-03, B3-05</t>
        </is>
      </c>
      <c r="H3" t="inlineStr">
        <is>
          <t>깊은종아리신경 L4~L5(S1) 근절·피절 vs 《明堂》 원주치 표적(위, T6~T9 내장절) 분절 불일치. 하지 자극의 위운동 조절은 상척수성(미주) 체성-자율 반사로 설명되는 유추 수준 → 1.</t>
        </is>
      </c>
      <c r="I3" t="inlineStr">
        <is>
          <t>심비골신경 L4-L5(피절 L5) vs 원 주치 위장(腹满·胃中有热·不嗜食, 내장절 T6-T9/미주) 분절 불일치; 하지-위 반사는 상척수(미주) 경로로만 연결되는 유추 → 1</t>
        </is>
      </c>
    </row>
    <row r="4">
      <c r="A4" t="inlineStr">
        <is>
          <t>T1</t>
        </is>
      </c>
      <c r="B4" t="n">
        <v>3</v>
      </c>
      <c r="C4" t="n">
        <v>1</v>
      </c>
      <c r="D4" t="n">
        <v>1</v>
      </c>
      <c r="E4" t="n">
        <v>1</v>
      </c>
      <c r="F4" t="inlineStr">
        <is>
          <t>B3-05, B3-06, B3-12</t>
        </is>
      </c>
      <c r="G4" t="inlineStr">
        <is>
          <t>1904</t>
        </is>
      </c>
      <c r="H4" t="inlineStr">
        <is>
          <t>깊은종아리신경 심부 근육 구심(group III/IV, Aδ/C) 관여는 ST36-37 등 타 경혈·마취 동물에서 검증된 범위 밖 유추 → 1.</t>
        </is>
      </c>
      <c r="I4" t="inlineStr">
        <is>
          <t>심부 근·혈관주위 Ⅲ/Ⅳ군·Aβ/Aδ 구심섬유는 마취 동물 일반 기전, T1 미검증 범위 밖 → 1</t>
        </is>
      </c>
    </row>
    <row r="5">
      <c r="A5" t="inlineStr">
        <is>
          <t>T1</t>
        </is>
      </c>
      <c r="B5" t="n">
        <v>4</v>
      </c>
      <c r="C5" t="n">
        <v>1</v>
      </c>
      <c r="D5" t="n">
        <v>1</v>
      </c>
      <c r="E5" t="n">
        <v>1</v>
      </c>
      <c r="F5" t="inlineStr">
        <is>
          <t>B3-05, B3-12</t>
        </is>
      </c>
      <c r="G5" t="inlineStr">
        <is>
          <t>1904</t>
        </is>
      </c>
      <c r="H5" t="inlineStr">
        <is>
          <t>후지 체성자극 → 연수(rVLM/NTS·미주 운동핵) 경로는 마취 쥐·고양이, 타 경혈 근거 → 1.</t>
        </is>
      </c>
      <c r="I5" t="inlineStr">
        <is>
          <t>후지 자극→상척수 미주/rVLM 경로는 동물·타 부위(비골신경 전침) 근거 유추</t>
        </is>
      </c>
    </row>
    <row r="6">
      <c r="A6" t="inlineStr">
        <is>
          <t>T1</t>
        </is>
      </c>
      <c r="B6" t="n">
        <v>5</v>
      </c>
      <c r="C6" t="n">
        <v>1</v>
      </c>
      <c r="D6" t="n">
        <v>1</v>
      </c>
      <c r="E6" t="n">
        <v>1</v>
      </c>
      <c r="F6" t="inlineStr">
        <is>
          <t>B3-05</t>
        </is>
      </c>
      <c r="G6" t="inlineStr">
        <is>
          <t>1904</t>
        </is>
      </c>
      <c r="H6" t="inlineStr">
        <is>
          <t>원주치 '腹满·胃中有热·不嗜食'과 하지 자극의 미주성 위운동 촉진 방향은 마취 쥐 일반 기전으로 유추 가능하나 T1 특이 근거 없음 → 1.</t>
        </is>
      </c>
      <c r="I6" t="inlineStr">
        <is>
          <t>마취 쥐 후지 체성 자극의 위운동 미주성 촉진 반사가 원 주치(위 병증) 방향과 개념상 부합하나 T1 직접 근거 없음; 1904는 위팽만 심혈관반사 지표로 위 기능 효과 아님</t>
        </is>
      </c>
    </row>
    <row r="7">
      <c r="A7" t="inlineStr">
        <is>
          <t>T1</t>
        </is>
      </c>
      <c r="B7" t="n">
        <v>6</v>
      </c>
      <c r="C7" t="n">
        <v>0</v>
      </c>
      <c r="D7" t="n">
        <v>0</v>
      </c>
      <c r="E7" t="n">
        <v>0</v>
      </c>
      <c r="F7" t="inlineStr">
        <is>
          <t>B4-05</t>
        </is>
      </c>
      <c r="H7" t="inlineStr">
        <is>
          <t>T1 위치 자침의 인체 신경영상·자율신경 지표·임상 연구 없음. 혈위 특이성 논쟁(B4-05) 미해결 → 0.</t>
        </is>
      </c>
      <c r="I7" t="inlineStr">
        <is>
          <t>T1 정위로 자침한 인체 생리·임상 연구 없음</t>
        </is>
      </c>
    </row>
    <row r="8">
      <c r="A8" t="inlineStr">
        <is>
          <t>T1</t>
        </is>
      </c>
      <c r="B8" t="inlineStr">
        <is>
          <t>합계</t>
        </is>
      </c>
      <c r="C8" t="n">
        <v>5</v>
      </c>
      <c r="D8" t="n">
        <v>5</v>
      </c>
      <c r="E8" t="n">
        <v>5</v>
      </c>
      <c r="H8" t="inlineStr">
        <is>
          <t>미부합 → 반사 기전 가설</t>
        </is>
      </c>
    </row>
    <row r="9">
      <c r="A9" t="inlineStr">
        <is>
          <t>T2</t>
        </is>
      </c>
      <c r="B9" t="n">
        <v>1</v>
      </c>
      <c r="C9" t="n">
        <v>1</v>
      </c>
      <c r="D9" t="n">
        <v>1</v>
      </c>
      <c r="E9" t="n">
        <v>1</v>
      </c>
      <c r="F9" t="inlineStr">
        <is>
          <t>B1-01, B1-03, B2-09</t>
        </is>
      </c>
      <c r="H9" t="inlineStr">
        <is>
          <t>얕은·깊은종아리신경, 앞정강동정맥, 폄근군은 규범 해부·2대 교재로 확인되나 GB39 특이 영상·사체 실측 논문 없음(B2 2점 조건 미충족). 보고서의 '비골동맥 관통지=動脈中' 주장은 《通考》의 앞정강동맥 해석과 불일치.</t>
        </is>
      </c>
      <c r="I9" t="inlineStr">
        <is>
          <t>교재 2종이 얕은·깊은종아리신경과 앞정강동맥을 지정하지만 혈관 구성이 서로 다르고 혈위 특이 영상 실측(B2-10 유형)이 없음. 보고서의 '비골동맥 관통지=動脈' 동정은 通考와 상충함.</t>
        </is>
      </c>
    </row>
    <row r="10">
      <c r="A10" t="inlineStr">
        <is>
          <t>T2</t>
        </is>
      </c>
      <c r="B10" t="n">
        <v>2</v>
      </c>
      <c r="C10" t="n">
        <v>1</v>
      </c>
      <c r="D10" t="n">
        <v>1</v>
      </c>
      <c r="E10" t="n">
        <v>1</v>
      </c>
      <c r="F10" t="inlineStr">
        <is>
          <t>B1-03, B3-05, B3-20</t>
        </is>
      </c>
      <c r="H10" t="inlineStr">
        <is>
          <t>L4~S1 피절·근절은 국소 주치(下肢痿痺·足脛痛)와 정합. 보고서의 'L4-S1→C3-C5 체성-체성 이완 반사'(頸項强痛)는 분절 근거 없음. 명당경 원주치(위병, T6~T9)와도 분절 불일치.</t>
        </is>
      </c>
      <c r="I10" t="inlineStr">
        <is>
          <t>L4~S1 피절·근절은 국소 하지 주치(下肢痿痺·足脛痛)와 맞음. 원전 단독 주치인 腹滿·胃中有熱·不嗜食(위 T6~T9)과 보고서가 주장한 頸項强痛(C3~C5)은 분절이 불일치하여 상척수성 유추만 가능함.</t>
        </is>
      </c>
    </row>
    <row r="11">
      <c r="A11" t="inlineStr">
        <is>
          <t>T2</t>
        </is>
      </c>
      <c r="B11" t="n">
        <v>3</v>
      </c>
      <c r="C11" t="n">
        <v>1</v>
      </c>
      <c r="D11" t="n">
        <v>1</v>
      </c>
      <c r="E11" t="n">
        <v>1</v>
      </c>
      <c r="F11" t="inlineStr">
        <is>
          <t>B3-04, B3-06, B3-11, B3-17</t>
        </is>
      </c>
      <c r="G11" t="inlineStr">
        <is>
          <t>1615</t>
        </is>
      </c>
      <c r="H11" t="inlineStr">
        <is>
          <t>침 자극 구심 섬유(Aδ/C) 일반 틀과 GB39·GB34 전침 진통 동물 연구(복합 혈위)만 존재 — 유추·동물 한정.</t>
        </is>
      </c>
      <c r="I11" t="inlineStr">
        <is>
          <t>구심 섬유형에 관한 일반 기전과 하지 심부 근막 PROKR2 기전(ST36 검증)은 범위 밖이므로 유추로만 인정함. GB39 고유의 섬유형 연구는 없음.</t>
        </is>
      </c>
    </row>
    <row r="12">
      <c r="A12" t="inlineStr">
        <is>
          <t>T2</t>
        </is>
      </c>
      <c r="B12" t="n">
        <v>4</v>
      </c>
      <c r="C12" t="n">
        <v>1</v>
      </c>
      <c r="D12" t="n">
        <v>1</v>
      </c>
      <c r="E12" t="n">
        <v>1</v>
      </c>
      <c r="F12" t="inlineStr">
        <is>
          <t>B3-05, B3-07, B3-11</t>
        </is>
      </c>
      <c r="G12" t="inlineStr">
        <is>
          <t>1610, 1612</t>
        </is>
      </c>
      <c r="H12" t="inlineStr">
        <is>
          <t>GB39 관련 뇌영역 투사 추적(동물), GB34-GB39 전침 뇌혈류 변화(인체, 복합 혈위)로 중추 관여는 간접 시사. 경로 특정 근거 없음.</t>
        </is>
      </c>
      <c r="I12" t="inlineStr">
        <is>
          <t>GB39 신경추적 연구(1610, 동물)와 진통 중추 경로에 관한 일반 기전뿐임. 보고서의 'C3-C5 분절 상행 반사'는 근거가 없음.</t>
        </is>
      </c>
    </row>
    <row r="13">
      <c r="A13" t="inlineStr">
        <is>
          <t>T2</t>
        </is>
      </c>
      <c r="B13" t="n">
        <v>5</v>
      </c>
      <c r="C13" t="n">
        <v>1</v>
      </c>
      <c r="D13" t="n">
        <v>1</v>
      </c>
      <c r="E13" t="n">
        <v>1</v>
      </c>
      <c r="F13" t="inlineStr">
        <is>
          <t>B3-05, B3-11, B3-16</t>
        </is>
      </c>
      <c r="G13" t="inlineStr">
        <is>
          <t>1615, 1903</t>
        </is>
      </c>
      <c r="H13" t="inlineStr">
        <is>
          <t>국소 진통·항염 방향은 하지 통증 주치와 동물 수준에서 부합. 頸項强痛 원격 효과·髓會(골수) 효과의 원심 경로 근거 없음.</t>
        </is>
      </c>
      <c r="I13" t="inlineStr">
        <is>
          <t>사지 자극이 위 운동과 염증을 조절한다는 기전은 마취 쥐·마우스 ST36에서 나온 유추이고, ST36+GB39 병용 동물 연구(1903)가 있음. 고전 주치(위열·복만)의 효과 방향과 직접 대응하는 GB39 연구는 없음.</t>
        </is>
      </c>
    </row>
    <row r="14">
      <c r="A14" t="inlineStr">
        <is>
          <t>T2</t>
        </is>
      </c>
      <c r="B14" t="n">
        <v>6</v>
      </c>
      <c r="C14" t="n">
        <v>1</v>
      </c>
      <c r="D14" t="n">
        <v>1</v>
      </c>
      <c r="E14" t="n">
        <v>1</v>
      </c>
      <c r="F14" t="inlineStr">
        <is>
          <t>B4-03, B4-04, B4-05</t>
        </is>
      </c>
      <c r="G14" t="inlineStr">
        <is>
          <t>1612, 1902</t>
        </is>
      </c>
      <c r="H14" t="inlineStr">
        <is>
          <t>인체 근거는 복합 혈위 전침(뇌혈류 비RCT, CIPN RCT)뿐으로 GB39 특이 전환 근거 아님. B4-04·B4-05의 혈위 비특이성 반증 병기 필요.</t>
        </is>
      </c>
      <c r="I14" t="inlineStr">
        <is>
          <t>GB34-GB39 전침 인체 뇌혈류 연구(비RCT, 배혈)가 1편 있음. 혈위 특이성 반증(B4-04·B4-05)을 함께 고려해 1점.</t>
        </is>
      </c>
    </row>
    <row r="15">
      <c r="A15" t="inlineStr">
        <is>
          <t>T2</t>
        </is>
      </c>
      <c r="B15" t="inlineStr">
        <is>
          <t>합계</t>
        </is>
      </c>
      <c r="C15" t="n">
        <v>6</v>
      </c>
      <c r="D15" t="n">
        <v>6</v>
      </c>
      <c r="E15" t="n">
        <v>6</v>
      </c>
      <c r="H15" t="inlineStr">
        <is>
          <t>미부합 → 반사 기전 가설</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65" t="inlineStr">
        <is>
          <t>papers.id</t>
        </is>
      </c>
      <c r="B1" s="65" t="inlineStr">
        <is>
          <t>연도</t>
        </is>
      </c>
      <c r="C1" s="65" t="inlineStr">
        <is>
          <t>저널</t>
        </is>
      </c>
      <c r="D1" s="65" t="inlineStr">
        <is>
          <t>제목</t>
        </is>
      </c>
      <c r="E1" s="65" t="inlineStr">
        <is>
          <t>PMID</t>
        </is>
      </c>
      <c r="F1" s="65" t="inlineStr">
        <is>
          <t>DOI</t>
        </is>
      </c>
      <c r="G1" s="65" t="inlineStr">
        <is>
          <t>설계</t>
        </is>
      </c>
      <c r="H1" s="65" t="inlineStr">
        <is>
          <t>사용</t>
        </is>
      </c>
    </row>
    <row r="2">
      <c r="A2" t="n">
        <v>1624</v>
      </c>
      <c r="B2" t="n">
        <v>2021</v>
      </c>
      <c r="C2" t="inlineStr">
        <is>
          <t>针刺研究 46(1) (DB 표기: World Journal of Acupuncture-Moxibustion)</t>
        </is>
      </c>
      <c r="D2" t="inlineStr">
        <is>
          <t>关于悬钟穴定位的探讨 / Location of acupoint Xuanzhong (GB39) — 刘佳男 등</t>
        </is>
      </c>
      <c r="F2" t="inlineStr">
        <is>
          <t>10.13702/j.1000-0607.200282 (본문 PDF)</t>
        </is>
      </c>
      <c r="G2" t="inlineStr">
        <is>
          <t>문헌 연구(정위)</t>
        </is>
      </c>
      <c r="H2" t="inlineStr">
        <is>
          <t>T1 정위 근거(胫骨前嵴与腓骨前缘之间), 박동 촉지 곤란 지적</t>
        </is>
      </c>
    </row>
    <row r="3">
      <c r="A3" t="n">
        <v>1610</v>
      </c>
      <c r="B3" t="n">
        <v>2003</v>
      </c>
      <c r="C3" t="inlineStr">
        <is>
          <t>대한침구학회지</t>
        </is>
      </c>
      <c r="D3" t="inlineStr">
        <is>
          <t>치매와 관련된 뇌영역에 투사되는 경혈(SJ5·PC6·SP6·GB39)의 신경해부학적 연구</t>
        </is>
      </c>
      <c r="G3" t="inlineStr">
        <is>
          <t>동물 신경추적</t>
        </is>
      </c>
      <c r="H3" t="inlineStr">
        <is>
          <t>T2 B-Check ④</t>
        </is>
      </c>
    </row>
    <row r="4">
      <c r="A4" t="n">
        <v>1612</v>
      </c>
      <c r="B4" t="n">
        <v>2006</v>
      </c>
      <c r="C4" t="inlineStr">
        <is>
          <t>대한한의학회지</t>
        </is>
      </c>
      <c r="D4" t="inlineStr">
        <is>
          <t>양릉천-현종 전침치료가 뇌경색환자 및 정상인의 뇌혈류에 미치는 영향</t>
        </is>
      </c>
      <c r="G4" t="inlineStr">
        <is>
          <t>인체 비RCT(배혈)</t>
        </is>
      </c>
      <c r="H4" t="inlineStr">
        <is>
          <t>T2 B-Check ④⑥</t>
        </is>
      </c>
    </row>
    <row r="5">
      <c r="A5" t="n">
        <v>1615</v>
      </c>
      <c r="B5" t="n">
        <v>2013</v>
      </c>
      <c r="C5" t="inlineStr">
        <is>
          <t>대한침구의학회지</t>
        </is>
      </c>
      <c r="D5" t="inlineStr">
        <is>
          <t>懸鍾(GB39)·陽陵泉(GB34)의 電鍼 및 레이저침이 白鼠의 神經病理性 疼痛에 미치는 영향</t>
        </is>
      </c>
      <c r="F5" t="inlineStr">
        <is>
          <t>10.13045/acupunct.2013012</t>
        </is>
      </c>
      <c r="G5" t="inlineStr">
        <is>
          <t>동물(배혈)</t>
        </is>
      </c>
      <c r="H5" t="inlineStr">
        <is>
          <t>T2 B-Check ③⑤</t>
        </is>
      </c>
    </row>
    <row r="6">
      <c r="A6" t="n">
        <v>1903</v>
      </c>
      <c r="B6" t="n">
        <v>2019</v>
      </c>
      <c r="C6" t="inlineStr">
        <is>
          <t>Zhen Ci Yan Jiu</t>
        </is>
      </c>
      <c r="D6" t="inlineStr">
        <is>
          <t>Electroacupuncture at "Zusanli"(ST36) and "Xuanzhong"(GB39) improves inflammatory reactions…</t>
        </is>
      </c>
      <c r="E6" t="inlineStr">
        <is>
          <t>31532135</t>
        </is>
      </c>
      <c r="F6" t="inlineStr">
        <is>
          <t>10.13702/j.1000-0607.180555</t>
        </is>
      </c>
      <c r="G6" t="inlineStr">
        <is>
          <t>동물(배혈)</t>
        </is>
      </c>
      <c r="H6" t="inlineStr">
        <is>
          <t>T2 B-Check ⑤</t>
        </is>
      </c>
    </row>
    <row r="7">
      <c r="A7" t="n">
        <v>1902</v>
      </c>
      <c r="B7" t="n">
        <v>2024</v>
      </c>
      <c r="C7" t="inlineStr">
        <is>
          <t>Zhongguo Zhen Jiu</t>
        </is>
      </c>
      <c r="D7" t="inlineStr">
        <is>
          <t>Electroacupuncture for the prevention of chemotherapy-induced peripheral neuropathy: an RCT</t>
        </is>
      </c>
      <c r="E7" t="inlineStr">
        <is>
          <t>39658376</t>
        </is>
      </c>
      <c r="F7" t="inlineStr">
        <is>
          <t>10.13703/j.0255-2930.20240222-k0001</t>
        </is>
      </c>
      <c r="G7" t="inlineStr">
        <is>
          <t>인체 RCT(다혈위)</t>
        </is>
      </c>
      <c r="H7" t="inlineStr">
        <is>
          <t>T2 B-Check ⑥</t>
        </is>
      </c>
    </row>
    <row r="8">
      <c r="A8" t="n">
        <v>1904</v>
      </c>
      <c r="B8" t="n">
        <v>2002</v>
      </c>
      <c r="C8" t="inlineStr">
        <is>
          <t>Am J Physiol Regul Integr Comp Physiol</t>
        </is>
      </c>
      <c r="D8" t="inlineStr">
        <is>
          <t>Effect of electroacupuncture on pressor reflex during gastric distension</t>
        </is>
      </c>
      <c r="E8" t="inlineStr">
        <is>
          <t>12388466</t>
        </is>
      </c>
      <c r="F8" t="inlineStr">
        <is>
          <t>10.1152/ajpregu.00192.2002</t>
        </is>
      </c>
      <c r="G8" t="inlineStr">
        <is>
          <t>동물</t>
        </is>
      </c>
      <c r="H8" t="inlineStr">
        <is>
          <t>T1 B-Check ③~⑤ 유추</t>
        </is>
      </c>
    </row>
    <row r="9">
      <c r="A9" t="n">
        <v>1620</v>
      </c>
      <c r="B9" t="n">
        <v>2017</v>
      </c>
      <c r="C9" t="inlineStr">
        <is>
          <t>针灸临床杂志</t>
        </is>
      </c>
      <c r="D9" t="inlineStr">
        <is>
          <t>髓会绝骨的文献研究及临床应用概论</t>
        </is>
      </c>
      <c r="G9" t="inlineStr">
        <is>
          <t>문헌 연구</t>
        </is>
      </c>
      <c r="H9" t="inlineStr">
        <is>
          <t>참고(불산입)</t>
        </is>
      </c>
    </row>
    <row r="10">
      <c r="A10" t="inlineStr">
        <is>
          <t>불산입: 1842·1905·1845·1922(종설·데이터마이닝), 1910·1915·1924·1925·1911(GB39 포함/단독성 미확인), 1913(GB39 실측 아님)</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65" t="inlineStr">
        <is>
          <t>일시</t>
        </is>
      </c>
      <c r="B1" s="65" t="inlineStr">
        <is>
          <t>소스</t>
        </is>
      </c>
      <c r="C1" s="65" t="inlineStr">
        <is>
          <t>HTTP</t>
        </is>
      </c>
      <c r="D1" s="65" t="inlineStr">
        <is>
          <t>수집</t>
        </is>
      </c>
      <c r="E1" s="65" t="inlineStr">
        <is>
          <t>중복제거</t>
        </is>
      </c>
      <c r="F1" s="65" t="inlineStr">
        <is>
          <t>신규</t>
        </is>
      </c>
      <c r="G1" s="65" t="inlineStr">
        <is>
          <t>쿼리</t>
        </is>
      </c>
    </row>
    <row r="2">
      <c r="A2" t="inlineStr">
        <is>
          <t>2026-10-04T09:51:54</t>
        </is>
      </c>
      <c r="B2" t="inlineStr">
        <is>
          <t>pubmed</t>
        </is>
      </c>
      <c r="C2" t="n">
        <v>200</v>
      </c>
      <c r="D2" t="n">
        <v>16</v>
      </c>
      <c r="E2" t="inlineStr">
        <is>
          <t>—</t>
        </is>
      </c>
      <c r="F2" t="inlineStr">
        <is>
          <t>—</t>
        </is>
      </c>
      <c r="G2" t="inlineStr">
        <is>
          <t>("GB39" OR "Xuanzhong" OR "懸鍾") AND (acupuncture OR electroacupuncture) AND (nerve OR reflex OR autonomic OR mechanism OR anatomy)</t>
        </is>
      </c>
    </row>
    <row r="3">
      <c r="A3" t="inlineStr">
        <is>
          <t>2026-10-04T09:51:54</t>
        </is>
      </c>
      <c r="B3" t="inlineStr">
        <is>
          <t>openalex</t>
        </is>
      </c>
      <c r="C3" t="n">
        <v>200</v>
      </c>
      <c r="D3" t="n">
        <v>24</v>
      </c>
      <c r="E3" t="inlineStr">
        <is>
          <t>—</t>
        </is>
      </c>
      <c r="F3" t="inlineStr">
        <is>
          <t>—</t>
        </is>
      </c>
      <c r="G3" t="inlineStr">
        <is>
          <t>doi_starts_with:10.13703,title_and_abstract.search:"Xuanzhong" OR "GB39" | doi_starts_with:10.13702,title_and_abstract.search:"Xuanzhong" OR "GB39" | has_doi:tr…</t>
        </is>
      </c>
    </row>
    <row r="4">
      <c r="A4" t="inlineStr">
        <is>
          <t>2026-10-04T09:51:54</t>
        </is>
      </c>
      <c r="B4" t="inlineStr">
        <is>
          <t>crossref</t>
        </is>
      </c>
      <c r="C4" t="n">
        <v>200</v>
      </c>
      <c r="D4" t="n">
        <v>0</v>
      </c>
      <c r="E4" t="inlineStr">
        <is>
          <t>—</t>
        </is>
      </c>
      <c r="F4" t="inlineStr">
        <is>
          <t>—</t>
        </is>
      </c>
      <c r="G4" t="inlineStr">
        <is>
          <t>Xuanzhong acupuncture nerve reflex</t>
        </is>
      </c>
    </row>
    <row r="5">
      <c r="A5" t="inlineStr">
        <is>
          <t>2026-10-04T09:51:54</t>
        </is>
      </c>
      <c r="B5" t="inlineStr">
        <is>
          <t>all</t>
        </is>
      </c>
      <c r="C5" t="inlineStr">
        <is>
          <t>—</t>
        </is>
      </c>
      <c r="D5" t="n">
        <v>40</v>
      </c>
      <c r="E5" t="n">
        <v>13</v>
      </c>
      <c r="F5" t="n">
        <v>27</v>
      </c>
    </row>
    <row r="6">
      <c r="A6" t="inlineStr">
        <is>
          <t>2026-10-23T21:43:36</t>
        </is>
      </c>
      <c r="B6" t="inlineStr">
        <is>
          <t>pubmed</t>
        </is>
      </c>
      <c r="C6" t="n">
        <v>200</v>
      </c>
      <c r="D6" t="n">
        <v>16</v>
      </c>
      <c r="E6" t="inlineStr"/>
      <c r="F6" t="inlineStr"/>
      <c r="G6" t="inlineStr">
        <is>
          <t>("GB39" OR "Xuanzhong" OR "悬钟") AND (acupuncture OR electroacupuncture) AND (nerve OR reflex OR autonomic OR mechanism OR anatomy) | ("GB39" OR "Xuanzhong" OR "悬钟") AND ("Zhongguo Zhen Jiu"[Journal] OR "Zhen Ci Yan Jiu"[Journal])</t>
        </is>
      </c>
    </row>
    <row r="7">
      <c r="A7" t="inlineStr">
        <is>
          <t>2026-10-23T21:43:36</t>
        </is>
      </c>
      <c r="B7" t="inlineStr">
        <is>
          <t>openalex</t>
        </is>
      </c>
      <c r="C7" t="n">
        <v>200</v>
      </c>
      <c r="D7" t="n">
        <v>24</v>
      </c>
      <c r="E7" t="inlineStr"/>
      <c r="F7" t="inlineStr"/>
      <c r="G7" t="inlineStr">
        <is>
          <t>doi_starts_with:10.13703,title_and_abstract.search:"Xuanzhong" OR "GB39" | doi_starts_with:10.13702,title_and_abstract.search:"Xuanzhong" OR "GB39" | has_doi:true,title_and_abstract.search:"Xuanzhong" OR "GB39" AND (acupuncture OR electroacupuncture)</t>
        </is>
      </c>
    </row>
    <row r="8">
      <c r="A8" t="inlineStr">
        <is>
          <t>2026-10-23T21:43:36</t>
        </is>
      </c>
      <c r="B8" t="inlineStr">
        <is>
          <t>crossref</t>
        </is>
      </c>
      <c r="C8" t="n">
        <v>200</v>
      </c>
      <c r="D8" t="n">
        <v>0</v>
      </c>
      <c r="E8" t="inlineStr"/>
      <c r="F8" t="inlineStr"/>
      <c r="G8" t="inlineStr">
        <is>
          <t>Xuanzhong acupuncture nerve reflex</t>
        </is>
      </c>
    </row>
    <row r="9">
      <c r="A9" t="inlineStr">
        <is>
          <t>2026-10-23T21:43:36</t>
        </is>
      </c>
      <c r="B9" t="inlineStr">
        <is>
          <t>all</t>
        </is>
      </c>
      <c r="D9" t="n">
        <v>40</v>
      </c>
      <c r="E9" t="n">
        <v>33</v>
      </c>
      <c r="F9" t="n">
        <v>7</v>
      </c>
      <c r="G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65" t="inlineStr">
        <is>
          <t>위치</t>
        </is>
      </c>
      <c r="B1" s="65" t="inlineStr">
        <is>
          <t>원래 내용</t>
        </is>
      </c>
      <c r="C1" s="65" t="inlineStr">
        <is>
          <t>바꾼 내용</t>
        </is>
      </c>
      <c r="D1" s="65" t="inlineStr">
        <is>
          <t>근거</t>
        </is>
      </c>
    </row>
    <row r="2">
      <c r="A2" t="inlineStr">
        <is>
          <t>머리말</t>
        </is>
      </c>
      <c r="B2" t="inlineStr">
        <is>
          <t>v2.6, 자침깊이 DB 링크가 로직 원칙 xlsx로 잘못 연결</t>
        </is>
      </c>
      <c r="C2" t="inlineStr">
        <is>
          <t>v2.7 인용 블록(T1·T2 ARI 표기), 자침깊이 DB 링크 정정</t>
        </is>
      </c>
      <c r="D2" t="inlineStr">
        <is>
          <t>final_GB39M.json notation; 02_Master_Datasets</t>
        </is>
      </c>
    </row>
    <row r="3">
      <c r="A3" t="inlineStr">
        <is>
          <t>2.4·7.1·9절 《通考》 인용</t>
        </is>
      </c>
      <c r="B3" t="inlineStr">
        <is>
          <t>"懸鍾(絶骨)穴位於外踝上三寸, 腓骨前緣… 淺腓骨神經(L4-S1)… 腓骨動脈 관통지… '動脈'은 腓骨動脈 관통지의 박동"(통고 고증란), "5개 항목 완전 일치"</t>
        </is>
      </c>
      <c r="C3" t="inlineStr">
        <is>
          <t>**가공 인용으로 삭제.** 실제 《通考》 원문(맥 기준 정위, 앞정강동맥, 경골 쪽, 名实分离, 名存实亡, 归经 불합리)으로 교체. 《通考》에 淺腓骨神經·腓骨動脈 관통가지 기술 없음</t>
        </is>
      </c>
      <c r="D3" t="inlineStr">
        <is>
          <t>`针灸腧穴通考(下)_321-400.md` L431·437·542·548–552·615·658</t>
        </is>
      </c>
    </row>
    <row r="4">
      <c r="A4" t="inlineStr">
        <is>
          <t>1·2.2.1·5.1절 원문</t>
        </is>
      </c>
      <c r="B4" t="inlineStr">
        <is>
          <t>《甲乙》 "在足外踝上三寸動脈中", 《明堂》 "在足外踝上三寸"</t>
        </is>
      </c>
      <c r="C4" t="inlineStr">
        <is>
          <t>"在足外踝上三寸動者脈中, 足三陽絡, 按之陽明脈絶乃取之" 전문 복원</t>
        </is>
      </c>
      <c r="D4" t="inlineStr">
        <is>
          <t>`中国针灸穴位通鉴(下卷)_161-240.md` L54; 《通考》 L421</t>
        </is>
      </c>
    </row>
    <row r="5">
      <c r="A5" t="inlineStr">
        <is>
          <t>2.2.1절 銅人·千金·大成</t>
        </is>
      </c>
      <c r="B5" t="inlineStr">
        <is>
          <t>《銅人》 "絶骨穴在足外踝上三寸", 《千金》 "絶骨, 在外踝上三寸", 《大成》 "足外踝上三寸, 足少陽, 陽維之會"</t>
        </is>
      </c>
      <c r="C5" t="inlineStr">
        <is>
          <t>《銅人》 5:20 "在足外踝上三寸動脈中", 《千金》 卷29 "悬钟，一名绝骨，在外踝上三寸动者中，足三阳络", 《大成》 7:209 "足外踝上三寸動脈中，尋摸尖骨者是。足三陽之大絡，按之陽明脈絶乃取之"</t>
        </is>
      </c>
      <c r="D5" t="inlineStr">
        <is>
          <t>《通鉴》 L90·110; 《通考》 L426</t>
        </is>
      </c>
    </row>
    <row r="6">
      <c r="A6" t="inlineStr">
        <is>
          <t>2.1절 이명</t>
        </is>
      </c>
      <c r="B6" t="inlineStr">
        <is>
          <t>絶骨 "甲乙經 이후 모든 문헌에서 동일혈, 혼용 위험 없음", "비골의 고대 이칭", 縣鍾</t>
        </is>
      </c>
      <c r="C6" t="inlineStr">
        <is>
          <t>絶骨은 《明堂》에 없고 《千金》 卷29에서 처음 현종 이명. KJH·2대 교재가 GB38에도 등재 → 혼용 위험 높음. 縣鍾 삭제, 足三陽絡 추가</t>
        </is>
      </c>
      <c r="D6" t="inlineStr">
        <is>
          <t>KJH 경혈 종합 목록 344·345행; 공통교재·김재효 xlsx 342·343행; 《通鉴》 L342; 《通考》 L431</t>
        </is>
      </c>
    </row>
    <row r="7">
      <c r="A7" t="inlineStr">
        <is>
          <t>2.2.2·2.2.3절 깊이</t>
        </is>
      </c>
      <c r="B7" t="inlineStr">
        <is>
          <t>"갑을경 34"를 깊이 값처럼 수록, μ 6.2푼·σ 1.0푼</t>
        </is>
      </c>
      <c r="C7" t="inlineStr">
        <is>
          <t>34는 배열 번호로 명시, 통계 삭제, 《脉经》·《玉龙经》·《指微》·窦氏·横透 등 이질 심도 추가</t>
        </is>
      </c>
      <c r="D7" t="inlineStr">
        <is>
          <t>자침깊이 xlsx 시트1 344행; 《通鉴》 L234–274</t>
        </is>
      </c>
    </row>
    <row r="8">
      <c r="A8" t="inlineStr">
        <is>
          <t>2.3·3.2절 주치</t>
        </is>
      </c>
      <c r="B8" t="inlineStr">
        <is>
          <t>$P_{single}$ = 頸項强痛·落枕·下肢痿痹·足脛疼痛, 원주치 누락</t>
        </is>
      </c>
      <c r="C8" t="inlineStr">
        <is>
          <t>$P_{single}$ = 腹满·胃中有热·不嗜食·小儿腹满(《明堂》). 頸項强 = 《千金》 卷18 絶骨 주치 혼입, 落枕 = 현대 《针灸学简编》(배오), 五淋·湿痹 = 陽輔 주치 혼입</t>
        </is>
      </c>
      <c r="D8" t="inlineStr">
        <is>
          <t>《通考》 L542·627–647·686; 《通鉴》 L154–156·230·342</t>
        </is>
      </c>
    </row>
    <row r="9">
      <c r="A9" t="inlineStr">
        <is>
          <t>4.2절 Δ</t>
        </is>
      </c>
      <c r="B9" t="inlineStr">
        <is>
          <t>0.3~0.7cm, "분리 기준 미달, 단일 분석"</t>
        </is>
      </c>
      <c r="C9" t="inlineStr">
        <is>
          <t>Δ ≈ 20~35mm(채점자 2인 독립 추정) → T1·T2 분기, 7절 신설</t>
        </is>
      </c>
      <c r="D9" t="inlineStr">
        <is>
          <t>final_GB39M.json override_note; papers.id 1624</t>
        </is>
      </c>
    </row>
    <row r="10">
      <c r="A10" t="inlineStr">
        <is>
          <t>5.1·6.2절 "動脈中" 실체</t>
        </is>
      </c>
      <c r="B10" t="inlineStr">
        <is>
          <t>종아리동맥 관통가지</t>
        </is>
      </c>
      <c r="C10" t="inlineStr">
        <is>
          <t>앞정강동맥(종아리동맥 관통가지 해석은 원전 근거 없음)</t>
        </is>
      </c>
      <c r="D10" t="inlineStr">
        <is>
          <t>《通考》 L548–552; 《通鉴》 L74; papers.id 1624</t>
        </is>
      </c>
    </row>
    <row r="11">
      <c r="A11" t="inlineStr">
        <is>
          <t>5.3·8.1절 Layer</t>
        </is>
      </c>
      <c r="B11" t="inlineStr">
        <is>
          <t>얕은종아리신경 8~14mm(Layer 3b), 비골 골막 Layer 4, 피질골 "金禁"</t>
        </is>
      </c>
      <c r="C11" t="inlineStr">
        <is>
          <t>얕은종아리신경 = Layer 1(피하), Layer 4 = 앞정강동·정맥 + 깊은종아리신경, Layer 5 = 골막. "金禁" 삭제(DB에 '0' 없음)</t>
        </is>
      </c>
      <c r="D11" t="inlineStr">
        <is>
          <t>정본 Rank 5 Layer 정의; 자침깊이 xlsx 344행; B1-01·B1-03</t>
        </is>
      </c>
    </row>
    <row r="12">
      <c r="A12" t="inlineStr">
        <is>
          <t>5.2절 안전</t>
        </is>
      </c>
      <c r="B12" t="inlineStr">
        <is>
          <t>"비골동맥 본간 손상 위험 없음", Layer 4 위험 구조 누락</t>
        </is>
      </c>
      <c r="C12" t="inlineStr">
        <is>
          <t>T1·T2별 Layer 4(앞정강동맥·깊은종아리신경) 접촉 가능성과 심자 기록(《指微》 46mm, 窦氏 57.5mm) 명시</t>
        </is>
      </c>
      <c r="D12" t="inlineStr">
        <is>
          <t>final_GB39M.json S_safety 근거</t>
        </is>
      </c>
    </row>
    <row r="13">
      <c r="A13" t="inlineStr">
        <is>
          <t>6.1·9절 기전</t>
        </is>
      </c>
      <c r="B13" t="inlineStr">
        <is>
          <t>"L4-S1 → C3-C5 분절 상행 → 경항부 근이완 반사", "골막 자극 = 髓會 기반"</t>
        </is>
      </c>
      <c r="C13" t="inlineStr">
        <is>
          <t>삭제. B-Check 근거 기반 가설도로 교체</t>
        </is>
      </c>
      <c r="D13" t="inlineStr">
        <is>
          <t>등록부·Layer A 근거 없음(final T2 override_note)</t>
        </is>
      </c>
    </row>
    <row r="14">
      <c r="A14" t="inlineStr">
        <is>
          <t>Rank 5 교재표</t>
        </is>
      </c>
      <c r="B14" t="inlineStr">
        <is>
          <t>"상호 보완적 정합", "완벽 대조"</t>
        </is>
      </c>
      <c r="C14" t="inlineStr">
        <is>
          <t>실제 차이(긴엄지굽힘근·종아리동정맥·셋째종아리근 vs 긴종아리근) 분석</t>
        </is>
      </c>
      <c r="D14" t="inlineStr">
        <is>
          <t>공통교재·김재효 xlsx 각 343행</t>
        </is>
      </c>
    </row>
    <row r="15">
      <c r="A15" t="inlineStr">
        <is>
          <t>8절</t>
        </is>
      </c>
      <c r="B15" t="inlineStr">
        <is>
          <t>Layer A·B-Check·검색 로그 없음</t>
        </is>
      </c>
      <c r="C15" t="inlineStr">
        <is>
          <t>papers.id 표(1624 정위 결론 인용 포함), T1·T2 B-Check(5/12·6/12), sync_log 표 추가</t>
        </is>
      </c>
      <c r="D15" t="inlineStr">
        <is>
          <t>pack_GB39.md; final_GB39M.json bcheck; 1624 본문 PDF</t>
        </is>
      </c>
    </row>
    <row r="16">
      <c r="A16" t="inlineStr">
        <is>
          <t>8절 papers.id 1624 서지</t>
        </is>
      </c>
      <c r="B16" t="inlineStr">
        <is>
          <t>(인용 없음)</t>
        </is>
      </c>
      <c r="C16" t="inlineStr">
        <is>
          <t>针刺研究 2021;46(1), DOI 10.13702/j.1000-0607.200282. 마스터 DB의 저널 표기(World Journal of Acupuncture-Moxibustion)는 본문 PDF와 다름(DB 정정 필요)</t>
        </is>
      </c>
      <c r="D16" t="inlineStr">
        <is>
          <t>`03_주제별_경혈고증_연구보고서/현종혈_고증_및_문헌연구/04_참고논문_PDF/2021-침자연구-Location of acupoint Xuanzhong_GB39.pdf`</t>
        </is>
      </c>
    </row>
    <row r="17">
      <c r="A17" t="inlineStr">
        <is>
          <t>8절 감사표</t>
        </is>
      </c>
      <c r="B17" t="inlineStr">
        <is>
          <t>보고서↔엑셀 "전 항목 일치" 정합성 감사</t>
        </is>
      </c>
      <c r="C17" t="inlineStr">
        <is>
          <t>삭제(동일 산출물 간 대조는 신뢰도 근거가 아님, 정본 Rank 7)</t>
        </is>
      </c>
      <c r="D17" t="inlineStr">
        <is>
          <t>정본 Rank 7 상호 검증 조항</t>
        </is>
      </c>
    </row>
    <row r="18">
      <c r="A18" t="inlineStr">
        <is>
          <t>10절</t>
        </is>
      </c>
      <c r="B18" t="inlineStr">
        <is>
          <t>v2.6 5요인 ARI</t>
        </is>
      </c>
      <c r="C18" t="inlineStr">
        <is>
          <t>T1 51.2 ± 0 (D·H) / T2 55 ± 0 (C, 가중치 민감), 하위 항목·게이트·분기·조정 기록</t>
        </is>
      </c>
      <c r="D18" t="inlineStr">
        <is>
          <t>final_GB39M.json</t>
        </is>
      </c>
    </row>
    <row r="19">
      <c r="A19" t="inlineStr">
        <is>
          <t>10절</t>
        </is>
      </c>
      <c r="B19" t="inlineStr">
        <is>
          <t>—</t>
        </is>
      </c>
      <c r="C19" t="inlineStr">
        <is>
          <t>구판 v2.6 점수 93.6(비교 불가)</t>
        </is>
      </c>
      <c r="D19" t="inlineStr">
        <is>
          <t>구판 보고서 `_구판_v2.6/`</t>
        </is>
      </c>
    </row>
    <row r="20">
      <c r="A20" t="inlineStr">
        <is>
          <t>확인 못 한 항목</t>
        </is>
      </c>
      <c r="B20" t="inlineStr">
        <is>
          <t>—</t>
        </is>
      </c>
      <c r="C20" t="inlineStr">
        <is>
          <t>《難經》 45難 "髓會絶骨"의 陽輔 귀속설은 3대 원전 청크에서 원문을 직접 찾지 못해 "귀속 미확정"으로만 기술. 《通考》 "人体测量学调查"의 서지 미확인. T1·T2의 mm 단위 Δ·깊이는 채점자 추정이며 영상 실측 없음</t>
        </is>
      </c>
      <c r="D20" t="inlineStr">
        <is>
          <t>—</t>
        </is>
      </c>
    </row>
    <row r="21">
      <c r="A21" t="inlineStr">
        <is>
          <t>FMA_해부실체 시트 신설 (2026-10-23)</t>
        </is>
      </c>
      <c r="B21" t="inlineStr">
        <is>
          <t>—</t>
        </is>
      </c>
      <c r="C21" t="inlineStr">
        <is>
          <t>FMA 5.1.0 실체 ID·지배신경·줄기·분절·교재 비교 추가. T1 ARI-Core 51.2 ± 0 (D·H)·T2 55.0 ± 0 (C) 불변</t>
        </is>
      </c>
      <c r="D21" t="inlineStr">
        <is>
          <t>fma_query.py profile GB39; 보고서 4·6·8절·부록 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10" customWidth="1" min="3" max="3"/>
    <col width="44" customWidth="1" min="4" max="4"/>
    <col width="10" customWidth="1" min="5" max="5"/>
    <col width="14" customWidth="1" min="6" max="6"/>
    <col width="44" customWidth="1" min="7" max="7"/>
    <col width="60" customWidth="1" min="8" max="8"/>
    <col width="28" customWidth="1" min="9" max="9"/>
    <col width="50" customWidth="1" min="10" max="10"/>
  </cols>
  <sheetData>
    <row r="1">
      <c r="A1" t="inlineStr">
        <is>
          <t>구분</t>
        </is>
      </c>
      <c r="B1" t="inlineStr">
        <is>
          <t>교재 용어</t>
        </is>
      </c>
      <c r="C1" t="inlineStr">
        <is>
          <t>FMA_ID</t>
        </is>
      </c>
      <c r="D1" t="inlineStr">
        <is>
          <t>FMA_label</t>
        </is>
      </c>
      <c r="E1" t="inlineStr">
        <is>
          <t>대응 수준</t>
        </is>
      </c>
      <c r="F1" t="inlineStr">
        <is>
          <t>출처 교재</t>
        </is>
      </c>
      <c r="G1" t="inlineStr">
        <is>
          <t>지배신경(FMA nerve_supply)</t>
        </is>
      </c>
      <c r="H1" t="inlineStr">
        <is>
          <t>상위 줄기(FMA)</t>
        </is>
      </c>
      <c r="I1" t="inlineStr">
        <is>
          <t>척수 분절(FMA segmental_supply)</t>
        </is>
      </c>
      <c r="J1" t="inlineStr">
        <is>
          <t>비고</t>
        </is>
      </c>
    </row>
    <row r="2">
      <c r="A2" t="inlineStr">
        <is>
          <t>근육</t>
        </is>
      </c>
      <c r="B2" t="inlineStr">
        <is>
          <t>긴발가락폄근 (extensor digitorum longus)</t>
        </is>
      </c>
      <c r="C2" t="n">
        <v>22534</v>
      </c>
      <c r="D2" t="inlineStr">
        <is>
          <t>Extensor digitorum longus</t>
        </is>
      </c>
      <c r="E2" t="inlineStr">
        <is>
          <t>exact</t>
        </is>
      </c>
      <c r="F2" t="inlineStr">
        <is>
          <t>공통교재·김재효</t>
        </is>
      </c>
      <c r="G2" t="inlineStr">
        <is>
          <t>FMA:80068 Nerve to extensor digitorum longus</t>
        </is>
      </c>
      <c r="H2" t="inlineStr">
        <is>
          <t>Medial terminal branch of deep fibular nerve → Deep fibular nerve → Common fibular nerve → Sciatic nerve → Sacral nerve plexus</t>
        </is>
      </c>
      <c r="I2" t="inlineStr">
        <is>
          <t>L5(primary/segmental), S1(secondary/segmental)</t>
        </is>
      </c>
      <c r="J2" t="inlineStr">
        <is>
          <t>근육가지 기원: FMA는 안쪽종말가지로 기록 → 깊은종아리신경 수준만 인용</t>
        </is>
      </c>
    </row>
    <row r="3">
      <c r="A3" t="inlineStr">
        <is>
          <t>근육</t>
        </is>
      </c>
      <c r="B3" t="inlineStr">
        <is>
          <t>긴엄지폄근 (extensor hallucis longus)</t>
        </is>
      </c>
      <c r="C3" t="n">
        <v>22533</v>
      </c>
      <c r="D3" t="inlineStr">
        <is>
          <t>Extensor hallucis longus</t>
        </is>
      </c>
      <c r="E3" t="inlineStr">
        <is>
          <t>exact</t>
        </is>
      </c>
      <c r="F3" t="inlineStr">
        <is>
          <t>공통교재·김재효</t>
        </is>
      </c>
      <c r="G3" t="inlineStr">
        <is>
          <t>FMA:80065 Nerve to extensor hallucis longus</t>
        </is>
      </c>
      <c r="H3" t="inlineStr">
        <is>
          <t>Medial terminal branch of deep fibular nerve → Deep fibular nerve → Common fibular nerve → Sciatic nerve → Sacral nerve plexus</t>
        </is>
      </c>
      <c r="I3" t="inlineStr">
        <is>
          <t>L5(primary/segmental), S1(secondary/segmental)</t>
        </is>
      </c>
      <c r="J3" t="inlineStr">
        <is>
          <t>위와 같음</t>
        </is>
      </c>
    </row>
    <row r="4">
      <c r="A4" t="inlineStr">
        <is>
          <t>근육</t>
        </is>
      </c>
      <c r="B4" t="inlineStr">
        <is>
          <t>짧은종아리근 (fibularis brevis); 짧은종아리근 (peroneus brevis)</t>
        </is>
      </c>
      <c r="C4" t="n">
        <v>22540</v>
      </c>
      <c r="D4" t="inlineStr">
        <is>
          <t>Fibularis brevis</t>
        </is>
      </c>
      <c r="E4" t="inlineStr">
        <is>
          <t>exact</t>
        </is>
      </c>
      <c r="F4" t="inlineStr">
        <is>
          <t>공통교재·김재효</t>
        </is>
      </c>
      <c r="G4" t="inlineStr">
        <is>
          <t>FMA:80082 Nerve to fibularis brevis</t>
        </is>
      </c>
      <c r="H4" t="inlineStr">
        <is>
          <t>Superficial fibular nerve → Common fibular nerve → Sciatic nerve → Sacral nerve plexus</t>
        </is>
      </c>
      <c r="I4" t="inlineStr">
        <is>
          <t>L5(segmental), S1(segmental)</t>
        </is>
      </c>
    </row>
    <row r="5">
      <c r="A5" t="inlineStr">
        <is>
          <t>근육</t>
        </is>
      </c>
      <c r="B5" t="inlineStr">
        <is>
          <t>긴종아리근 (peroneus longus)</t>
        </is>
      </c>
      <c r="C5" t="n">
        <v>22539</v>
      </c>
      <c r="D5" t="inlineStr">
        <is>
          <t>Fibularis longus</t>
        </is>
      </c>
      <c r="E5" t="inlineStr">
        <is>
          <t>exact</t>
        </is>
      </c>
      <c r="F5" t="inlineStr">
        <is>
          <t>공통교재</t>
        </is>
      </c>
      <c r="G5" t="inlineStr">
        <is>
          <t>FMA:80079 Nerve to fibularis longus</t>
        </is>
      </c>
      <c r="H5" t="inlineStr">
        <is>
          <t>Superficial fibular nerve → Common fibular nerve → Sciatic nerve → Sacral nerve plexus</t>
        </is>
      </c>
      <c r="I5" t="inlineStr">
        <is>
          <t>L4(segmental), L5(segmental), S1(segmental)</t>
        </is>
      </c>
    </row>
    <row r="6">
      <c r="A6" t="inlineStr">
        <is>
          <t>근육</t>
        </is>
      </c>
      <c r="B6" t="inlineStr">
        <is>
          <t>셋째종아리근 (fibularis tertius)</t>
        </is>
      </c>
      <c r="C6" t="n">
        <v>22538</v>
      </c>
      <c r="D6" t="inlineStr">
        <is>
          <t>Fibularis tertius</t>
        </is>
      </c>
      <c r="E6" t="inlineStr">
        <is>
          <t>exact</t>
        </is>
      </c>
      <c r="F6" t="inlineStr">
        <is>
          <t>김재효</t>
        </is>
      </c>
      <c r="G6" t="inlineStr">
        <is>
          <t>FMA:80071 Nerve to fibularis tertius</t>
        </is>
      </c>
      <c r="H6" t="inlineStr">
        <is>
          <t>Medial terminal branch of deep fibular nerve → Deep fibular nerve → Common fibular nerve → Sciatic nerve → Sacral nerve plexus</t>
        </is>
      </c>
      <c r="I6" t="inlineStr">
        <is>
          <t>L5(segmental), S1(segmental)</t>
        </is>
      </c>
      <c r="J6" t="inlineStr">
        <is>
          <t>위와 같음</t>
        </is>
      </c>
    </row>
    <row r="7">
      <c r="A7" t="inlineStr">
        <is>
          <t>근육</t>
        </is>
      </c>
      <c r="B7" t="inlineStr">
        <is>
          <t>긴엄지굽힘근 (flexor hallucis longus)</t>
        </is>
      </c>
      <c r="C7" t="n">
        <v>22593</v>
      </c>
      <c r="D7" t="inlineStr">
        <is>
          <t>Flexor hallucis longus</t>
        </is>
      </c>
      <c r="E7" t="inlineStr">
        <is>
          <t>exact</t>
        </is>
      </c>
      <c r="F7" t="inlineStr">
        <is>
          <t>김재효</t>
        </is>
      </c>
      <c r="G7" t="inlineStr">
        <is>
          <t>FMA:80098 Nerve to flexor hallucis longus</t>
        </is>
      </c>
      <c r="H7" t="inlineStr">
        <is>
          <t>Tibial nerve → Sciatic nerve → Sacral nerve plexus</t>
        </is>
      </c>
      <c r="I7" t="inlineStr">
        <is>
          <t>S1(primary/segmental), S2(primary/segmental), L5(secondary/segmental)</t>
        </is>
      </c>
      <c r="J7" t="inlineStr">
        <is>
          <t>뒤칸 깊은층(FMA:312109)·정강신경 — 김재효 단독</t>
        </is>
      </c>
    </row>
    <row r="8">
      <c r="A8" t="inlineStr">
        <is>
          <t>신경</t>
        </is>
      </c>
      <c r="B8" t="inlineStr">
        <is>
          <t>깊은종아리신경 (deep fibular nerve); 깊은종아리신경 (deep peroneal nerve)</t>
        </is>
      </c>
      <c r="C8" t="n">
        <v>44771</v>
      </c>
      <c r="D8" t="inlineStr">
        <is>
          <t>Deep fibular nerve</t>
        </is>
      </c>
      <c r="E8" t="inlineStr">
        <is>
          <t>exact</t>
        </is>
      </c>
      <c r="F8" t="inlineStr">
        <is>
          <t>공통교재·김재효</t>
        </is>
      </c>
      <c r="H8" t="inlineStr">
        <is>
          <t>FMA:19039 Common fibular nerve → FMA:19034 Sciatic nerve → FMA:5909 Sacral nerve plexus</t>
        </is>
      </c>
      <c r="I8" t="inlineStr">
        <is>
          <t>FMA 미기재</t>
        </is>
      </c>
    </row>
    <row r="9">
      <c r="A9" t="inlineStr">
        <is>
          <t>신경</t>
        </is>
      </c>
      <c r="B9" t="inlineStr">
        <is>
          <t>가쪽장딴지피부신경 (lateral sural cutaneous nerve)</t>
        </is>
      </c>
      <c r="C9" t="n">
        <v>44697</v>
      </c>
      <c r="D9" t="inlineStr">
        <is>
          <t>Lateral sural cutaneous nerve</t>
        </is>
      </c>
      <c r="E9" t="inlineStr">
        <is>
          <t>exact</t>
        </is>
      </c>
      <c r="F9" t="inlineStr">
        <is>
          <t>김재효</t>
        </is>
      </c>
      <c r="H9" t="inlineStr">
        <is>
          <t>FMA:19039 Common fibular nerve → FMA:19034 Sciatic nerve → FMA:5909 Sacral nerve plexus</t>
        </is>
      </c>
      <c r="I9" t="inlineStr">
        <is>
          <t>FMA 미기재</t>
        </is>
      </c>
    </row>
    <row r="10">
      <c r="A10" t="inlineStr">
        <is>
          <t>신경</t>
        </is>
      </c>
      <c r="B10" t="inlineStr">
        <is>
          <t>얕은종아리신경 (superficial fibular nerve); 얕은종아리신경 (superficial peroneal nerve)</t>
        </is>
      </c>
      <c r="C10" t="n">
        <v>44699</v>
      </c>
      <c r="D10" t="inlineStr">
        <is>
          <t>Superficial fibular nerve</t>
        </is>
      </c>
      <c r="E10" t="inlineStr">
        <is>
          <t>exact</t>
        </is>
      </c>
      <c r="F10" t="inlineStr">
        <is>
          <t>공통교재·김재효</t>
        </is>
      </c>
      <c r="H10" t="inlineStr">
        <is>
          <t>FMA:19039 Common fibular nerve → FMA:19034 Sciatic nerve → FMA:5909 Sacral nerve plexus</t>
        </is>
      </c>
      <c r="I10" t="inlineStr">
        <is>
          <t>FMA 미기재</t>
        </is>
      </c>
    </row>
    <row r="11">
      <c r="A11" t="inlineStr">
        <is>
          <t>혈관</t>
        </is>
      </c>
      <c r="B11" t="inlineStr">
        <is>
          <t>앞정강동ㆍ정맥 (anterior tibial artery and vein)</t>
        </is>
      </c>
      <c r="C11" t="n">
        <v>43894</v>
      </c>
      <c r="D11" t="inlineStr">
        <is>
          <t>Anterior tibial artery</t>
        </is>
      </c>
      <c r="E11" t="inlineStr">
        <is>
          <t>exact</t>
        </is>
      </c>
      <c r="F11" t="inlineStr">
        <is>
          <t>공통교재·김재효</t>
        </is>
      </c>
      <c r="H11" t="inlineStr">
        <is>
          <t>FMA:18805 External iliac artery → FMA:14764 Common iliac artery</t>
        </is>
      </c>
      <c r="I11" t="inlineStr">
        <is>
          <t>FMA 미기재</t>
        </is>
      </c>
      <c r="J11" t="inlineStr">
        <is>
          <t>FMA는 오금동맥을 바깥엉덩동맥 연속 구간으로 모델링</t>
        </is>
      </c>
    </row>
    <row r="12">
      <c r="A12" t="inlineStr">
        <is>
          <t>혈관</t>
        </is>
      </c>
      <c r="B12" t="inlineStr">
        <is>
          <t>앞정강동ㆍ정맥 (anterior tibial artery and vein)</t>
        </is>
      </c>
      <c r="C12" t="n">
        <v>44331</v>
      </c>
      <c r="D12" t="inlineStr">
        <is>
          <t>Anterior tibial vein</t>
        </is>
      </c>
      <c r="E12" t="inlineStr">
        <is>
          <t>exact</t>
        </is>
      </c>
      <c r="F12" t="inlineStr">
        <is>
          <t>공통교재·김재효</t>
        </is>
      </c>
      <c r="H12" t="inlineStr">
        <is>
          <t>FMA:44327 Popliteal vein → FMA:51041 Deep femoral vein → FMA:21185 Femoral vein → FMA:18883 External iliac vein → FMA:14333 Common iliac vein → FMA:10951 Inferior vena cava</t>
        </is>
      </c>
      <c r="I12" t="inlineStr">
        <is>
          <t>FMA 미기재</t>
        </is>
      </c>
    </row>
    <row r="13">
      <c r="A13" t="inlineStr">
        <is>
          <t>혈관</t>
        </is>
      </c>
      <c r="B13" t="inlineStr">
        <is>
          <t>종아리동ㆍ정맥 (fibular artery and vein)</t>
        </is>
      </c>
      <c r="C13" t="n">
        <v>44558</v>
      </c>
      <c r="D13" t="inlineStr">
        <is>
          <t>Fibular vein</t>
        </is>
      </c>
      <c r="E13" t="inlineStr">
        <is>
          <t>exact</t>
        </is>
      </c>
      <c r="F13" t="inlineStr">
        <is>
          <t>김재효</t>
        </is>
      </c>
      <c r="H13" t="inlineStr">
        <is>
          <t>FMA:44327 Popliteal vein → FMA:51041 Deep femoral vein → FMA:21185 Femoral vein → FMA:18883 External iliac vein → FMA:14333 Common iliac vein → FMA:10951 Inferior vena cava</t>
        </is>
      </c>
      <c r="I13" t="inlineStr">
        <is>
          <t>FMA 미기재</t>
        </is>
      </c>
      <c r="J13" t="inlineStr">
        <is>
          <t>FMA drains_into Femoral vein — 규범 해부와 다름, 인용 안 함</t>
        </is>
      </c>
    </row>
    <row r="14">
      <c r="A14" t="inlineStr">
        <is>
          <t>혈관</t>
        </is>
      </c>
      <c r="B14" t="inlineStr">
        <is>
          <t>종아리동맥의 관통가지 (perforating branch of the fibular artery)</t>
        </is>
      </c>
      <c r="C14" t="n">
        <v>44033</v>
      </c>
      <c r="D14" t="inlineStr">
        <is>
          <t>Perforating branch of fibular artery</t>
        </is>
      </c>
      <c r="E14" t="inlineStr">
        <is>
          <t>exact</t>
        </is>
      </c>
      <c r="F14" t="inlineStr">
        <is>
          <t>김재효</t>
        </is>
      </c>
      <c r="H14" t="inlineStr">
        <is>
          <t>FMA:43921 Peroneal artery</t>
        </is>
      </c>
      <c r="I14" t="inlineStr">
        <is>
          <t>FMA 미기재</t>
        </is>
      </c>
    </row>
    <row r="15">
      <c r="A15" t="inlineStr">
        <is>
          <t>혈관</t>
        </is>
      </c>
      <c r="B15" t="inlineStr">
        <is>
          <t>종아리동ㆍ정맥 (fibular artery and vein)</t>
        </is>
      </c>
      <c r="C15" t="n">
        <v>43921</v>
      </c>
      <c r="D15" t="inlineStr">
        <is>
          <t>Peroneal artery</t>
        </is>
      </c>
      <c r="E15" t="inlineStr">
        <is>
          <t>exact</t>
        </is>
      </c>
      <c r="F15" t="inlineStr">
        <is>
          <t>김재효</t>
        </is>
      </c>
      <c r="I15" t="inlineStr">
        <is>
          <t>FMA 미기재</t>
        </is>
      </c>
    </row>
    <row r="17">
      <c r="A17" t="inlineStr">
        <is>
          <t>분절 합집합</t>
        </is>
      </c>
      <c r="B17" t="inlineStr">
        <is>
          <t>L4, L5, S1, S2</t>
        </is>
      </c>
    </row>
    <row r="18">
      <c r="A18" t="inlineStr">
        <is>
          <t>교재 비교</t>
        </is>
      </c>
      <c r="B18" t="inlineStr">
        <is>
          <t>공통 7 · 공통교재 단독 1 · 김재효 단독 6</t>
        </is>
      </c>
    </row>
    <row r="19">
      <c r="A19" t="inlineStr">
        <is>
          <t>출처</t>
        </is>
      </c>
      <c r="B19" t="inlineStr">
        <is>
          <t>FMA 5.1.0 로컬 색인, fma_query.py profile GB39 (2026-10-23). B1 보조(등록부 미등재)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2026-07-31T02:42:23Z</dcterms:created>
  <dcterms:modified xmlns:dcterms="http://purl.org/dc/terms/" xmlns:xsi="http://www.w3.org/2001/XMLSchema-instance" xsi:type="dcterms:W3CDTF">2026-10-23T12:50:57Z</dcterms:modified>
</cp:coreProperties>
</file>