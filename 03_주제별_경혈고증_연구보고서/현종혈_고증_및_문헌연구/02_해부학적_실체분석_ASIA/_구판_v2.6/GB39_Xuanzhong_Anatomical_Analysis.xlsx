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문헌스크리닝DB" sheetId="1" state="visible" r:id="rId1"/>
    <sheet name="Sheet2_자침깊이DB" sheetId="2" state="visible" r:id="rId2"/>
    <sheet name="Sheet3_노이즈여과_3D좌표" sheetId="3" state="visible" r:id="rId3"/>
    <sheet name="Sheet4_자침통계_삼각법" sheetId="4" state="visible" r:id="rId4"/>
    <sheet name="Sheet5_해부학적실체" sheetId="5" state="visible" r:id="rId5"/>
    <sheet name="Sheet6_ARI평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맑은 고딕"/>
      <b val="1"/>
      <color rgb="003FB950"/>
      <sz val="13"/>
    </font>
    <font>
      <name val="맑은 고딕"/>
      <b val="1"/>
      <color rgb="003FB950"/>
      <sz val="10"/>
    </font>
    <font>
      <name val="맑은 고딕"/>
      <b val="1"/>
      <color rgb="00F0B429"/>
      <sz val="10"/>
    </font>
    <font>
      <name val="맑은 고딕"/>
      <b val="1"/>
      <color rgb="00C9D1D9"/>
      <sz val="10"/>
    </font>
    <font>
      <name val="맑은 고딕"/>
      <b val="1"/>
      <color rgb="00E3B341"/>
      <sz val="10"/>
    </font>
    <font>
      <name val="맑은 고딕"/>
      <color rgb="00C9D1D9"/>
      <sz val="10"/>
    </font>
    <font>
      <name val="맑은 고딕"/>
      <color rgb="003FB950"/>
      <sz val="10"/>
    </font>
    <font>
      <name val="맑은 고딕"/>
      <color rgb="00F0B429"/>
      <sz val="9"/>
    </font>
    <font>
      <name val="맑은 고딕"/>
      <b val="1"/>
      <color rgb="0058A6FF"/>
      <sz val="11"/>
    </font>
    <font>
      <name val="맑은 고딕"/>
      <color rgb="0058A6FF"/>
      <sz val="10"/>
    </font>
    <font>
      <name val="맑은 고딕"/>
      <color rgb="00BC8CFF"/>
      <sz val="10"/>
    </font>
    <font>
      <name val="맑은 고딕"/>
      <color rgb="00E3B341"/>
      <sz val="10"/>
    </font>
    <font>
      <name val="맑은 고딕"/>
      <color rgb="00FF7B72"/>
      <sz val="10"/>
    </font>
    <font>
      <name val="맑은 고딕"/>
      <b val="1"/>
      <color rgb="00F0B429"/>
      <sz val="13"/>
    </font>
    <font>
      <name val="맑은 고딕"/>
      <b val="1"/>
      <color rgb="003FB950"/>
      <sz val="11"/>
    </font>
    <font>
      <name val="맑은 고딕"/>
      <color rgb="00F0B429"/>
      <sz val="10"/>
    </font>
    <font>
      <name val="맑은 고딕"/>
      <b val="1"/>
      <color rgb="00F78166"/>
      <sz val="13"/>
    </font>
    <font>
      <name val="맑은 고딕"/>
      <b val="1"/>
      <color rgb="00FF7B72"/>
      <sz val="11"/>
    </font>
    <font>
      <name val="맑은 고딕"/>
      <b val="1"/>
      <color rgb="0058A6FF"/>
      <sz val="10"/>
    </font>
    <font>
      <name val="맑은 고딕"/>
      <color rgb="0058A6FF"/>
      <sz val="9"/>
    </font>
    <font>
      <name val="맑은 고딕"/>
      <b val="1"/>
      <color rgb="00E3B341"/>
      <sz val="13"/>
    </font>
    <font>
      <name val="맑은 고딕"/>
      <b val="1"/>
      <color rgb="00BC8CFF"/>
      <sz val="11"/>
    </font>
    <font>
      <name val="맑은 고딕"/>
      <color rgb="008B949E"/>
      <sz val="10"/>
    </font>
    <font>
      <name val="맑은 고딕"/>
      <b val="1"/>
      <color rgb="00F0B429"/>
      <sz val="11"/>
    </font>
    <font>
      <name val="맑은 고딕"/>
      <color rgb="00C9D1D9"/>
      <sz val="9"/>
    </font>
    <font>
      <name val="맑은 고딕"/>
      <b val="1"/>
      <color rgb="00BC8CFF"/>
      <sz val="10"/>
    </font>
    <font>
      <name val="맑은 고딕"/>
      <b val="1"/>
      <color rgb="003FB950"/>
      <sz val="12"/>
    </font>
  </fonts>
  <fills count="11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2A0D"/>
      </patternFill>
    </fill>
    <fill>
      <patternFill patternType="solid">
        <fgColor rgb="001C2230"/>
      </patternFill>
    </fill>
    <fill>
      <patternFill patternType="solid">
        <fgColor rgb="000D2010"/>
      </patternFill>
    </fill>
    <fill>
      <patternFill patternType="solid">
        <fgColor rgb="00200D0D"/>
      </patternFill>
    </fill>
    <fill>
      <patternFill patternType="solid">
        <fgColor rgb="000D1A2A"/>
      </patternFill>
    </fill>
    <fill>
      <patternFill patternType="solid">
        <fgColor rgb="00102010"/>
      </patternFill>
    </fill>
    <fill>
      <patternFill patternType="solid">
        <fgColor rgb="00166534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21" fillId="2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26" fillId="3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6" customWidth="1" min="4" max="4"/>
    <col width="18" customWidth="1" min="5" max="5"/>
    <col width="18" customWidth="1" min="6" max="6"/>
    <col width="20" customWidth="1" min="7" max="7"/>
  </cols>
  <sheetData>
    <row r="1" ht="30" customHeight="1">
      <c r="A1" s="1" t="inlineStr">
        <is>
          <t>【Sheet 1】 GB39 (懸鐘/絶骨, 현종) — 문헌 스크리닝 DB &amp; KJH 이명 대조</t>
        </is>
      </c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항목</t>
        </is>
      </c>
      <c r="B3" s="3" t="inlineStr">
        <is>
          <t>내용</t>
        </is>
      </c>
      <c r="C3" s="3" t="inlineStr"/>
      <c r="D3" s="3" t="inlineStr"/>
      <c r="E3" s="3" t="inlineStr"/>
      <c r="F3" s="3" t="inlineStr"/>
      <c r="G3" s="3" t="inlineStr"/>
      <c r="H3" s="2" t="n"/>
      <c r="I3" s="2" t="n"/>
      <c r="J3" s="2" t="n"/>
      <c r="K3" s="2" t="n"/>
      <c r="L3" s="2" t="n"/>
    </row>
    <row r="4">
      <c r="A4" s="4" t="inlineStr">
        <is>
          <t>경혈 부호</t>
        </is>
      </c>
      <c r="B4" s="5" t="inlineStr">
        <is>
          <t>GB39 (足少陽膽經 第39穴)</t>
        </is>
      </c>
      <c r="H4" s="2" t="n"/>
      <c r="I4" s="2" t="n"/>
      <c r="J4" s="2" t="n"/>
      <c r="K4" s="2" t="n"/>
      <c r="L4" s="2" t="n"/>
    </row>
    <row r="5">
      <c r="A5" s="4" t="inlineStr">
        <is>
          <t>한국어 명칭</t>
        </is>
      </c>
      <c r="B5" s="5" t="inlineStr">
        <is>
          <t>현종 (懸鐘/縣鍾)</t>
        </is>
      </c>
      <c r="H5" s="2" t="n"/>
      <c r="I5" s="2" t="n"/>
      <c r="J5" s="2" t="n"/>
      <c r="K5" s="2" t="n"/>
      <c r="L5" s="2" t="n"/>
    </row>
    <row r="6">
      <c r="A6" s="4" t="inlineStr">
        <is>
          <t>경혈 성질</t>
        </is>
      </c>
      <c r="B6" s="6" t="inlineStr">
        <is>
          <t>팔회혈(八會穴) — 髓會 (수회, 골수의 회혈)</t>
        </is>
      </c>
      <c r="H6" s="2" t="n"/>
      <c r="I6" s="2" t="n"/>
      <c r="J6" s="2" t="n"/>
      <c r="K6" s="2" t="n"/>
      <c r="L6" s="2" t="n"/>
    </row>
    <row r="7">
      <c r="A7" s="4" t="inlineStr">
        <is>
          <t>WHO 정위</t>
        </is>
      </c>
      <c r="B7" s="5" t="inlineStr">
        <is>
          <t>외과첨(外踝尖) 상방 3촌, 비골(腓骨) 전연(前緣)</t>
        </is>
      </c>
      <c r="H7" s="2" t="n"/>
      <c r="I7" s="2" t="n"/>
      <c r="J7" s="2" t="n"/>
      <c r="K7" s="2" t="n"/>
      <c r="L7" s="2" t="n"/>
    </row>
    <row r="8">
      <c r="A8" s="4" t="inlineStr">
        <is>
          <t>고전 정위</t>
        </is>
      </c>
      <c r="B8" s="5" t="inlineStr">
        <is>
          <t>《甲乙經》: '在足外踝上三寸動脈中' — '動脈中' = 비골동맥 관통지</t>
        </is>
      </c>
      <c r="H8" s="2" t="n"/>
      <c r="I8" s="2" t="n"/>
      <c r="J8" s="2" t="n"/>
      <c r="K8" s="2" t="n"/>
      <c r="L8" s="2" t="n"/>
    </row>
    <row r="9">
      <c r="A9" s="4" t="inlineStr">
        <is>
          <t>자침법</t>
        </is>
      </c>
      <c r="B9" s="5" t="inlineStr">
        <is>
          <t>직자(直刺) 90° — 6푼(13.8mm) 고전 표준; 5–8푼 현대 범위</t>
        </is>
      </c>
      <c r="H9" s="2" t="n"/>
      <c r="I9" s="2" t="n"/>
      <c r="J9" s="2" t="n"/>
      <c r="K9" s="2" t="n"/>
      <c r="L9" s="2" t="n"/>
    </row>
    <row r="10">
      <c r="A10" s="4" t="inlineStr">
        <is>
          <t>핵심 이명</t>
        </is>
      </c>
      <c r="B10" s="4" t="inlineStr">
        <is>
          <t>★ 絶骨(절골) — 비골(腓骨)의 고대 이칭, 해부 직지 이명 | 髓會(수회)</t>
        </is>
      </c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3" t="inlineStr">
        <is>
          <t>이명(異名)</t>
        </is>
      </c>
      <c r="B12" s="3" t="inlineStr">
        <is>
          <t>한국어 독음</t>
        </is>
      </c>
      <c r="C12" s="3" t="inlineStr">
        <is>
          <t>출전 문헌</t>
        </is>
      </c>
      <c r="D12" s="3" t="inlineStr">
        <is>
          <t>이명 유형</t>
        </is>
      </c>
      <c r="E12" s="3" t="inlineStr">
        <is>
          <t>오기·혼용 위험</t>
        </is>
      </c>
      <c r="F12" s="3" t="inlineStr">
        <is>
          <t>판정</t>
        </is>
      </c>
      <c r="G12" s="3" t="inlineStr">
        <is>
          <t>비고</t>
        </is>
      </c>
      <c r="H12" s="2" t="n"/>
      <c r="I12" s="2" t="n"/>
      <c r="J12" s="2" t="n"/>
      <c r="K12" s="2" t="n"/>
      <c r="L12" s="2" t="n"/>
    </row>
    <row r="13">
      <c r="A13" s="7" t="inlineStr">
        <is>
          <t>絶骨</t>
        </is>
      </c>
      <c r="B13" s="8" t="inlineStr">
        <is>
          <t>절골</t>
        </is>
      </c>
      <c r="C13" s="8" t="inlineStr">
        <is>
          <t>《甲乙經》·《千金方》·《外臺》</t>
        </is>
      </c>
      <c r="D13" s="8" t="inlineStr">
        <is>
          <t>가장 중요한 고전 별칭 — 비골(腓骨)의 고대 이칭</t>
        </is>
      </c>
      <c r="E13" s="8" t="inlineStr">
        <is>
          <t>低</t>
        </is>
      </c>
      <c r="F13" s="9" t="inlineStr">
        <is>
          <t>✅ 핵심 이명</t>
        </is>
      </c>
      <c r="G13" s="8" t="inlineStr">
        <is>
          <t>이명 자체가 해부 실체 직지 — 분석 핵심 단서</t>
        </is>
      </c>
      <c r="H13" s="2" t="n"/>
      <c r="I13" s="2" t="n"/>
      <c r="J13" s="2" t="n"/>
      <c r="K13" s="2" t="n"/>
      <c r="L13" s="2" t="n"/>
    </row>
    <row r="14">
      <c r="A14" s="10" t="inlineStr">
        <is>
          <t>髓會</t>
        </is>
      </c>
      <c r="B14" s="10" t="inlineStr">
        <is>
          <t>수회</t>
        </is>
      </c>
      <c r="C14" s="10" t="inlineStr">
        <is>
          <t>《難經》45難·《甲乙經》</t>
        </is>
      </c>
      <c r="D14" s="10" t="inlineStr">
        <is>
          <t>기능적 분류 이명 (팔회혈)</t>
        </is>
      </c>
      <c r="E14" s="10" t="inlineStr">
        <is>
          <t>低</t>
        </is>
      </c>
      <c r="F14" s="11" t="inlineStr">
        <is>
          <t>✅ 유지</t>
        </is>
      </c>
      <c r="G14" s="10" t="inlineStr">
        <is>
          <t>八會穴 중 髓의 회혈</t>
        </is>
      </c>
      <c r="H14" s="2" t="n"/>
      <c r="I14" s="2" t="n"/>
      <c r="J14" s="2" t="n"/>
      <c r="K14" s="2" t="n"/>
      <c r="L14" s="2" t="n"/>
    </row>
    <row r="15">
      <c r="A15" s="12" t="inlineStr">
        <is>
          <t>懸鍾</t>
        </is>
      </c>
      <c r="B15" s="12" t="inlineStr">
        <is>
          <t>현종</t>
        </is>
      </c>
      <c r="C15" s="12" t="inlineStr">
        <is>
          <t>《甲乙經》 본명</t>
        </is>
      </c>
      <c r="D15" s="12" t="inlineStr">
        <is>
          <t>이체자 표기</t>
        </is>
      </c>
      <c r="E15" s="12" t="inlineStr">
        <is>
          <t>매우 低</t>
        </is>
      </c>
      <c r="F15" s="13" t="inlineStr">
        <is>
          <t>✅ 유지 (동일 이체자)</t>
        </is>
      </c>
      <c r="G15" s="12" t="inlineStr">
        <is>
          <t>懸鐘=懸鍾 이체자</t>
        </is>
      </c>
      <c r="H15" s="2" t="n"/>
      <c r="I15" s="2" t="n"/>
      <c r="J15" s="2" t="n"/>
      <c r="K15" s="2" t="n"/>
      <c r="L15" s="2" t="n"/>
    </row>
    <row r="16">
      <c r="A16" s="10" t="inlineStr">
        <is>
          <t>縣鍾</t>
        </is>
      </c>
      <c r="B16" s="10" t="inlineStr">
        <is>
          <t>현종</t>
        </is>
      </c>
      <c r="C16" s="10" t="inlineStr">
        <is>
          <t>일부 문헌</t>
        </is>
      </c>
      <c r="D16" s="10" t="inlineStr">
        <is>
          <t>이체자 표기</t>
        </is>
      </c>
      <c r="E16" s="10" t="inlineStr">
        <is>
          <t>低</t>
        </is>
      </c>
      <c r="F16" s="11" t="inlineStr">
        <is>
          <t>✅ 유지</t>
        </is>
      </c>
      <c r="G16" s="10" t="inlineStr">
        <is>
          <t>동일혈 확인</t>
        </is>
      </c>
      <c r="H16" s="2" t="n"/>
      <c r="I16" s="2" t="n"/>
      <c r="J16" s="2" t="n"/>
      <c r="K16" s="2" t="n"/>
      <c r="L16" s="2" t="n"/>
    </row>
    <row r="17">
      <c r="A17" s="14" t="inlineStr">
        <is>
          <t>★ 絶骨(절골) 해부학적 의의: '絶骨'은 비골(腓骨)의 고대 이칭으로 GB39가 비골 전연 위에 위치함을 직접 지칭. 현대의 'Fibula point'와 등가. 이명 자체가 해부 실체 판명의 핵심 단서.</t>
        </is>
      </c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15" t="inlineStr">
        <is>
          <t>3대 근거 문헌 스크리닝 — 정위(定位) 원천 기술</t>
        </is>
      </c>
      <c r="H19" s="2" t="n"/>
      <c r="I19" s="2" t="n"/>
      <c r="J19" s="2" t="n"/>
      <c r="K19" s="2" t="n"/>
      <c r="L19" s="2" t="n"/>
    </row>
    <row r="20">
      <c r="A20" s="3" t="inlineStr">
        <is>
          <t>문헌명</t>
        </is>
      </c>
      <c r="B20" s="3" t="inlineStr">
        <is>
          <t>시대</t>
        </is>
      </c>
      <c r="C20" s="3" t="inlineStr">
        <is>
          <t>정위 기술 원문</t>
        </is>
      </c>
      <c r="D20" s="3" t="inlineStr">
        <is>
          <t>자침깊이(푼)</t>
        </is>
      </c>
      <c r="E20" s="3" t="inlineStr">
        <is>
          <t>자료 유형</t>
        </is>
      </c>
      <c r="F20" s="3" t="inlineStr">
        <is>
          <t>분석 비고</t>
        </is>
      </c>
      <c r="G20" s="3" t="inlineStr">
        <is>
          <t>특이 사항</t>
        </is>
      </c>
      <c r="H20" s="2" t="n"/>
      <c r="I20" s="2" t="n"/>
      <c r="J20" s="2" t="n"/>
      <c r="K20" s="2" t="n"/>
      <c r="L20" s="2" t="n"/>
    </row>
    <row r="21">
      <c r="A21" s="16" t="inlineStr">
        <is>
          <t>《黃帝明堂經》</t>
        </is>
      </c>
      <c r="B21" s="12" t="inlineStr">
        <is>
          <t>漢代</t>
        </is>
      </c>
      <c r="C21" s="12" t="inlineStr">
        <is>
          <t>在足外踝上三寸</t>
        </is>
      </c>
      <c r="D21" s="12" t="inlineStr">
        <is>
          <t>6</t>
        </is>
      </c>
      <c r="E21" s="17" t="inlineStr">
        <is>
          <t>최원천(Primary Source)</t>
        </is>
      </c>
      <c r="F21" s="12" t="inlineStr">
        <is>
          <t>외과 상방 3촌 최원천</t>
        </is>
      </c>
      <c r="G21" s="12" t="inlineStr">
        <is>
          <t>황룡상 감수편찬</t>
        </is>
      </c>
      <c r="H21" s="2" t="n"/>
      <c r="I21" s="2" t="n"/>
      <c r="J21" s="2" t="n"/>
      <c r="K21" s="2" t="n"/>
      <c r="L21" s="2" t="n"/>
    </row>
    <row r="22">
      <c r="A22" s="18" t="inlineStr">
        <is>
          <t>《甲乙經》</t>
        </is>
      </c>
      <c r="B22" s="19" t="inlineStr">
        <is>
          <t>晉代</t>
        </is>
      </c>
      <c r="C22" s="19" t="inlineStr">
        <is>
          <t>在足外踝上三寸動脈中</t>
        </is>
      </c>
      <c r="D22" s="19" t="inlineStr">
        <is>
          <t>6</t>
        </is>
      </c>
      <c r="E22" s="20" t="inlineStr">
        <is>
          <t>원천 재수록</t>
        </is>
      </c>
      <c r="F22" s="19" t="inlineStr">
        <is>
          <t>'動脈中'=비골동맥 관통지 촉진 단서</t>
        </is>
      </c>
      <c r="G22" s="19" t="inlineStr">
        <is>
          <t>핵심 촉진 기술 명시</t>
        </is>
      </c>
      <c r="H22" s="2" t="n"/>
      <c r="I22" s="2" t="n"/>
      <c r="J22" s="2" t="n"/>
      <c r="K22" s="2" t="n"/>
      <c r="L22" s="2" t="n"/>
    </row>
    <row r="23">
      <c r="A23" s="16" t="inlineStr">
        <is>
          <t>《銅人腧穴針灸圖經》</t>
        </is>
      </c>
      <c r="B23" s="12" t="inlineStr">
        <is>
          <t>宋代</t>
        </is>
      </c>
      <c r="C23" s="12" t="inlineStr">
        <is>
          <t>絶骨穴在足外踝上三寸</t>
        </is>
      </c>
      <c r="D23" s="12" t="inlineStr">
        <is>
          <t>—</t>
        </is>
      </c>
      <c r="E23" s="17" t="inlineStr">
        <is>
          <t>이명 절골 명시</t>
        </is>
      </c>
      <c r="F23" s="12" t="inlineStr">
        <is>
          <t>絶骨 이명 공식화</t>
        </is>
      </c>
      <c r="G23" s="12" t="inlineStr"/>
      <c r="H23" s="2" t="n"/>
      <c r="I23" s="2" t="n"/>
      <c r="J23" s="2" t="n"/>
      <c r="K23" s="2" t="n"/>
      <c r="L23" s="2" t="n"/>
    </row>
    <row r="24">
      <c r="A24" s="21" t="inlineStr">
        <is>
          <t>《千金要方》</t>
        </is>
      </c>
      <c r="B24" s="10" t="inlineStr">
        <is>
          <t>唐代</t>
        </is>
      </c>
      <c r="C24" s="10" t="inlineStr">
        <is>
          <t>絶骨, 在外踝上三寸</t>
        </is>
      </c>
      <c r="D24" s="10" t="inlineStr">
        <is>
          <t>—</t>
        </is>
      </c>
      <c r="E24" s="22" t="inlineStr">
        <is>
          <t>이명 기술</t>
        </is>
      </c>
      <c r="F24" s="10" t="inlineStr">
        <is>
          <t>絶骨로 기술</t>
        </is>
      </c>
      <c r="G24" s="10" t="inlineStr"/>
      <c r="H24" s="2" t="n"/>
      <c r="I24" s="2" t="n"/>
      <c r="J24" s="2" t="n"/>
      <c r="K24" s="2" t="n"/>
      <c r="L24" s="2" t="n"/>
    </row>
    <row r="25">
      <c r="A25" s="16" t="inlineStr">
        <is>
          <t>침구경험방</t>
        </is>
      </c>
      <c r="B25" s="12" t="inlineStr">
        <is>
          <t>朝鮮</t>
        </is>
      </c>
      <c r="C25" s="12" t="inlineStr">
        <is>
          <t>자침깊이 6푼</t>
        </is>
      </c>
      <c r="D25" s="12" t="inlineStr">
        <is>
          <t>6</t>
        </is>
      </c>
      <c r="E25" s="17" t="inlineStr">
        <is>
          <t>동인 계승</t>
        </is>
      </c>
      <c r="F25" s="12" t="inlineStr">
        <is>
          <t>조선 계승</t>
        </is>
      </c>
      <c r="G25" s="12" t="inlineStr"/>
      <c r="H25" s="2" t="n"/>
      <c r="I25" s="2" t="n"/>
      <c r="J25" s="2" t="n"/>
      <c r="K25" s="2" t="n"/>
      <c r="L25" s="2" t="n"/>
    </row>
    <row r="26">
      <c r="A26" s="21" t="inlineStr">
        <is>
          <t>동의보감</t>
        </is>
      </c>
      <c r="B26" s="10" t="inlineStr">
        <is>
          <t>朝鮮</t>
        </is>
      </c>
      <c r="C26" s="10" t="inlineStr">
        <is>
          <t>6푼 / 동인 인용</t>
        </is>
      </c>
      <c r="D26" s="10" t="inlineStr">
        <is>
          <t>6</t>
        </is>
      </c>
      <c r="E26" s="22" t="inlineStr">
        <is>
          <t>인용</t>
        </is>
      </c>
      <c r="F26" s="10" t="inlineStr">
        <is>
          <t>동인 인용</t>
        </is>
      </c>
      <c r="G26" s="10" t="inlineStr"/>
      <c r="H26" s="2" t="n"/>
      <c r="I26" s="2" t="n"/>
      <c r="J26" s="2" t="n"/>
      <c r="K26" s="2" t="n"/>
      <c r="L26" s="2" t="n"/>
    </row>
    <row r="27">
      <c r="A27" s="16" t="inlineStr">
        <is>
          <t>《침구대성》</t>
        </is>
      </c>
      <c r="B27" s="12" t="inlineStr">
        <is>
          <t>明代</t>
        </is>
      </c>
      <c r="C27" s="12" t="inlineStr">
        <is>
          <t>足外踝上三寸, 足少陽·陽維之會</t>
        </is>
      </c>
      <c r="D27" s="12" t="inlineStr">
        <is>
          <t>—</t>
        </is>
      </c>
      <c r="E27" s="17" t="inlineStr">
        <is>
          <t>후대 확장</t>
        </is>
      </c>
      <c r="F27" s="12" t="inlineStr">
        <is>
          <t>양유맥 교회혈 명시</t>
        </is>
      </c>
      <c r="G27" s="12" t="inlineStr"/>
      <c r="H27" s="2" t="n"/>
      <c r="I27" s="2" t="n"/>
      <c r="J27" s="2" t="n"/>
      <c r="K27" s="2" t="n"/>
      <c r="L27" s="2" t="n"/>
    </row>
    <row r="28">
      <c r="A28" s="21" t="inlineStr">
        <is>
          <t>《침구수혈통고》</t>
        </is>
      </c>
      <c r="B28" s="10" t="inlineStr">
        <is>
          <t>現代</t>
        </is>
      </c>
      <c r="C28" s="10" t="inlineStr">
        <is>
          <t>浅腓骨神經·腓骨筋·腓骨動脈 관통지</t>
        </is>
      </c>
      <c r="D28" s="10" t="inlineStr">
        <is>
          <t>5–8</t>
        </is>
      </c>
      <c r="E28" s="22" t="inlineStr">
        <is>
          <t>현대 고증</t>
        </is>
      </c>
      <c r="F28" s="10" t="inlineStr">
        <is>
          <t>100% 교차 일치</t>
        </is>
      </c>
      <c r="G28" s="10" t="inlineStr">
        <is>
          <t>황룡상 편찬</t>
        </is>
      </c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15" t="inlineStr">
        <is>
          <t>《증치통감》 병증 경혈 추출 (Principle 2)</t>
        </is>
      </c>
      <c r="H30" s="2" t="n"/>
      <c r="I30" s="2" t="n"/>
      <c r="J30" s="2" t="n"/>
      <c r="K30" s="2" t="n"/>
      <c r="L30" s="2" t="n"/>
    </row>
    <row r="31">
      <c r="A31" s="3" t="inlineStr">
        <is>
          <t>병증 분류</t>
        </is>
      </c>
      <c r="B31" s="3" t="inlineStr">
        <is>
          <t>대표 주치증</t>
        </is>
      </c>
      <c r="C31" s="3" t="inlineStr">
        <is>
          <t>선혈·배오</t>
        </is>
      </c>
      <c r="D31" s="3" t="inlineStr">
        <is>
          <t>P_single 판정</t>
        </is>
      </c>
      <c r="E31" s="3" t="inlineStr">
        <is>
          <t>신경생리 기전</t>
        </is>
      </c>
      <c r="F31" s="3" t="inlineStr">
        <is>
          <t>임상 증거</t>
        </is>
      </c>
      <c r="G31" s="3" t="inlineStr">
        <is>
          <t>비고</t>
        </is>
      </c>
      <c r="H31" s="2" t="n"/>
      <c r="I31" s="2" t="n"/>
      <c r="J31" s="2" t="n"/>
      <c r="K31" s="2" t="n"/>
      <c r="L31" s="2" t="n"/>
    </row>
    <row r="32">
      <c r="A32" s="23" t="inlineStr">
        <is>
          <t>경추·경항부</t>
        </is>
      </c>
      <c r="B32" s="12" t="inlineStr">
        <is>
          <t>頸項强痛(경항강통), 落枕(낙침)</t>
        </is>
      </c>
      <c r="C32" s="13" t="inlineStr">
        <is>
          <t>選穴 — 단독 다용</t>
        </is>
      </c>
      <c r="D32" s="13" t="inlineStr">
        <is>
          <t>✅ P_single</t>
        </is>
      </c>
      <c r="E32" s="12" t="inlineStr">
        <is>
          <t>체성-체성 반사 L4-S1→C3-C5</t>
        </is>
      </c>
      <c r="F32" s="12" t="inlineStr">
        <is>
          <t>임상 RCT 다수 검증</t>
        </is>
      </c>
      <c r="G32" s="12" t="inlineStr">
        <is>
          <t>원격 자침 대표 효능</t>
        </is>
      </c>
      <c r="H32" s="2" t="n"/>
      <c r="I32" s="2" t="n"/>
      <c r="J32" s="2" t="n"/>
      <c r="K32" s="2" t="n"/>
      <c r="L32" s="2" t="n"/>
    </row>
    <row r="33">
      <c r="A33" s="24" t="inlineStr">
        <is>
          <t>하지 신경계</t>
        </is>
      </c>
      <c r="B33" s="10" t="inlineStr">
        <is>
          <t>下肢痿痺(하지위비), 足脛疼痛</t>
        </is>
      </c>
      <c r="C33" s="11" t="inlineStr">
        <is>
          <t>選穴</t>
        </is>
      </c>
      <c r="D33" s="11" t="inlineStr">
        <is>
          <t>✅ P_single</t>
        </is>
      </c>
      <c r="E33" s="10" t="inlineStr">
        <is>
          <t>浅腓骨神經 직접 자극</t>
        </is>
      </c>
      <c r="F33" s="10" t="inlineStr">
        <is>
          <t>국소 신경 효과</t>
        </is>
      </c>
      <c r="G33" s="10" t="inlineStr">
        <is>
          <t>비골신경 전도 회복</t>
        </is>
      </c>
      <c r="H33" s="2" t="n"/>
      <c r="I33" s="2" t="n"/>
      <c r="J33" s="2" t="n"/>
      <c r="K33" s="2" t="n"/>
      <c r="L33" s="2" t="n"/>
    </row>
    <row r="34">
      <c r="A34" s="23" t="inlineStr">
        <is>
          <t>뇌신경계</t>
        </is>
      </c>
      <c r="B34" s="12" t="inlineStr">
        <is>
          <t>中風偏癱(반신불수)</t>
        </is>
      </c>
      <c r="C34" s="23" t="inlineStr">
        <is>
          <t>配穴 (파생)</t>
        </is>
      </c>
      <c r="D34" s="23" t="inlineStr">
        <is>
          <t>⚠️ 배오 의존</t>
        </is>
      </c>
      <c r="E34" s="12" t="inlineStr">
        <is>
          <t>足三里 등 배오 필수</t>
        </is>
      </c>
      <c r="F34" s="12" t="inlineStr">
        <is>
          <t>—</t>
        </is>
      </c>
      <c r="G34" s="12" t="inlineStr"/>
      <c r="H34" s="2" t="n"/>
      <c r="I34" s="2" t="n"/>
      <c r="J34" s="2" t="n"/>
      <c r="K34" s="2" t="n"/>
      <c r="L34" s="2" t="n"/>
    </row>
    <row r="35">
      <c r="A35" s="24" t="inlineStr">
        <is>
          <t>측흉복부</t>
        </is>
      </c>
      <c r="B35" s="10" t="inlineStr">
        <is>
          <t>脅肋疼痛(협늑통)</t>
        </is>
      </c>
      <c r="C35" s="24" t="inlineStr">
        <is>
          <t>配穴 (파생)</t>
        </is>
      </c>
      <c r="D35" s="24" t="inlineStr">
        <is>
          <t>⚠️ 배오 의존</t>
        </is>
      </c>
      <c r="E35" s="10" t="inlineStr">
        <is>
          <t>陽陵泉 등 배오 필수</t>
        </is>
      </c>
      <c r="F35" s="10" t="inlineStr">
        <is>
          <t>—</t>
        </is>
      </c>
      <c r="G35" s="10" t="inlineStr"/>
      <c r="H35" s="2" t="n"/>
      <c r="I35" s="2" t="n"/>
      <c r="J35" s="2" t="n"/>
      <c r="K35" s="2" t="n"/>
      <c r="L35" s="2" t="n"/>
    </row>
    <row r="36">
      <c r="A36" s="23" t="inlineStr">
        <is>
          <t>혈액계</t>
        </is>
      </c>
      <c r="B36" s="12" t="inlineStr">
        <is>
          <t>貧血, 骨髓疾患</t>
        </is>
      </c>
      <c r="C36" s="23" t="inlineStr">
        <is>
          <t>配穴 (髓會 이론)</t>
        </is>
      </c>
      <c r="D36" s="25" t="inlineStr">
        <is>
          <t>❌ 여과</t>
        </is>
      </c>
      <c r="E36" s="12" t="inlineStr">
        <is>
          <t>팔회혈 이론 기반 확장</t>
        </is>
      </c>
      <c r="F36" s="12" t="inlineStr">
        <is>
          <t>실의학 근거 불충분</t>
        </is>
      </c>
      <c r="G36" s="12" t="inlineStr">
        <is>
          <t>관념 이론 노이즈 처리</t>
        </is>
      </c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</sheetData>
  <mergeCells count="11">
    <mergeCell ref="B10:G10"/>
    <mergeCell ref="A1:G1"/>
    <mergeCell ref="A17:G17"/>
    <mergeCell ref="B5:G5"/>
    <mergeCell ref="B9:G9"/>
    <mergeCell ref="B8:G8"/>
    <mergeCell ref="B4:G4"/>
    <mergeCell ref="A30:G30"/>
    <mergeCell ref="A19:G19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  <col width="18" customWidth="1" min="5" max="5"/>
    <col width="26" customWidth="1" min="6" max="6"/>
    <col width="20" customWidth="1" min="7" max="7"/>
  </cols>
  <sheetData>
    <row r="1">
      <c r="A1" s="26" t="inlineStr">
        <is>
          <t>【Sheet 2】 GB39 자침깊이 DB &amp; 《침구수혈통고》 교차 검증</t>
        </is>
      </c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문헌명</t>
        </is>
      </c>
      <c r="B3" s="3" t="inlineStr">
        <is>
          <t>시대</t>
        </is>
      </c>
      <c r="C3" s="3" t="inlineStr">
        <is>
          <t>자침깊이(푼)</t>
        </is>
      </c>
      <c r="D3" s="3" t="inlineStr">
        <is>
          <t>한대환산(mm)</t>
        </is>
      </c>
      <c r="E3" s="3" t="inlineStr">
        <is>
          <t>자침법</t>
        </is>
      </c>
      <c r="F3" s="3" t="inlineStr">
        <is>
          <t>시대구분</t>
        </is>
      </c>
      <c r="G3" s="3" t="inlineStr">
        <is>
          <t>비고</t>
        </is>
      </c>
      <c r="H3" s="2" t="n"/>
      <c r="I3" s="2" t="n"/>
      <c r="J3" s="2" t="n"/>
      <c r="K3" s="2" t="n"/>
      <c r="L3" s="2" t="n"/>
    </row>
    <row r="4">
      <c r="A4" s="18" t="inlineStr">
        <is>
          <t>황제명당경 (황룡상 감수)</t>
        </is>
      </c>
      <c r="B4" s="19" t="inlineStr">
        <is>
          <t>漢代</t>
        </is>
      </c>
      <c r="C4" s="27" t="n">
        <v>6</v>
      </c>
      <c r="D4" s="27" t="n">
        <v>13.8</v>
      </c>
      <c r="E4" s="19" t="inlineStr">
        <is>
          <t>직자</t>
        </is>
      </c>
      <c r="F4" s="19" t="inlineStr">
        <is>
          <t>漢代 최원천</t>
        </is>
      </c>
      <c r="G4" s="19" t="inlineStr">
        <is>
          <t>★ 기준값</t>
        </is>
      </c>
      <c r="H4" s="2" t="n"/>
      <c r="I4" s="2" t="n"/>
      <c r="J4" s="2" t="n"/>
      <c r="K4" s="2" t="n"/>
      <c r="L4" s="2" t="n"/>
    </row>
    <row r="5">
      <c r="A5" s="18" t="inlineStr">
        <is>
          <t>침구갑을경</t>
        </is>
      </c>
      <c r="B5" s="19" t="inlineStr">
        <is>
          <t>晉代</t>
        </is>
      </c>
      <c r="C5" s="27" t="n">
        <v>6</v>
      </c>
      <c r="D5" s="27" t="n">
        <v>13.8</v>
      </c>
      <c r="E5" s="19" t="inlineStr">
        <is>
          <t>직자</t>
        </is>
      </c>
      <c r="F5" s="19" t="inlineStr">
        <is>
          <t>晉代</t>
        </is>
      </c>
      <c r="G5" s="19" t="inlineStr">
        <is>
          <t>원천 재수록</t>
        </is>
      </c>
      <c r="H5" s="2" t="n"/>
      <c r="I5" s="2" t="n"/>
      <c r="J5" s="2" t="n"/>
      <c r="K5" s="2" t="n"/>
      <c r="L5" s="2" t="n"/>
    </row>
    <row r="6">
      <c r="A6" s="18" t="inlineStr">
        <is>
          <t>침구경험방</t>
        </is>
      </c>
      <c r="B6" s="19" t="inlineStr">
        <is>
          <t>朝鮮</t>
        </is>
      </c>
      <c r="C6" s="27" t="n">
        <v>6</v>
      </c>
      <c r="D6" s="27" t="n">
        <v>13.8</v>
      </c>
      <c r="E6" s="19" t="inlineStr">
        <is>
          <t>직자</t>
        </is>
      </c>
      <c r="F6" s="19" t="inlineStr">
        <is>
          <t>朝鮮</t>
        </is>
      </c>
      <c r="G6" s="19" t="inlineStr">
        <is>
          <t>동인 계승</t>
        </is>
      </c>
      <c r="H6" s="2" t="n"/>
      <c r="I6" s="2" t="n"/>
      <c r="J6" s="2" t="n"/>
      <c r="K6" s="2" t="n"/>
      <c r="L6" s="2" t="n"/>
    </row>
    <row r="7">
      <c r="A7" s="18" t="inlineStr">
        <is>
          <t>동의보감</t>
        </is>
      </c>
      <c r="B7" s="19" t="inlineStr">
        <is>
          <t>朝鮮</t>
        </is>
      </c>
      <c r="C7" s="27" t="n">
        <v>6</v>
      </c>
      <c r="D7" s="27" t="n">
        <v>13.8</v>
      </c>
      <c r="E7" s="19" t="inlineStr">
        <is>
          <t>직자 (동인 인용)</t>
        </is>
      </c>
      <c r="F7" s="19" t="inlineStr">
        <is>
          <t>朝鮮</t>
        </is>
      </c>
      <c r="G7" s="19" t="inlineStr">
        <is>
          <t>동인 인용</t>
        </is>
      </c>
      <c r="H7" s="2" t="n"/>
      <c r="I7" s="2" t="n"/>
      <c r="J7" s="2" t="n"/>
      <c r="K7" s="2" t="n"/>
      <c r="L7" s="2" t="n"/>
    </row>
    <row r="8">
      <c r="A8" s="16" t="inlineStr">
        <is>
          <t>경락수혈학 최소</t>
        </is>
      </c>
      <c r="B8" s="12" t="inlineStr">
        <is>
          <t>現代</t>
        </is>
      </c>
      <c r="C8" s="12" t="n">
        <v>5</v>
      </c>
      <c r="D8" s="12" t="n">
        <v>11.5</v>
      </c>
      <c r="E8" s="12" t="inlineStr">
        <is>
          <t>직자</t>
        </is>
      </c>
      <c r="F8" s="12" t="inlineStr">
        <is>
          <t>現代 한국 교재</t>
        </is>
      </c>
      <c r="G8" s="12" t="inlineStr"/>
      <c r="H8" s="2" t="n"/>
      <c r="I8" s="2" t="n"/>
      <c r="J8" s="2" t="n"/>
      <c r="K8" s="2" t="n"/>
      <c r="L8" s="2" t="n"/>
    </row>
    <row r="9">
      <c r="A9" s="21" t="inlineStr">
        <is>
          <t>경락수혈학 최대</t>
        </is>
      </c>
      <c r="B9" s="10" t="inlineStr">
        <is>
          <t>現代</t>
        </is>
      </c>
      <c r="C9" s="10" t="n">
        <v>8</v>
      </c>
      <c r="D9" s="10" t="n">
        <v>18.4</v>
      </c>
      <c r="E9" s="10" t="inlineStr">
        <is>
          <t>직자</t>
        </is>
      </c>
      <c r="F9" s="10" t="inlineStr">
        <is>
          <t>現代 한국 교재</t>
        </is>
      </c>
      <c r="G9" s="10" t="inlineStr"/>
      <c r="H9" s="2" t="n"/>
      <c r="I9" s="2" t="n"/>
      <c r="J9" s="2" t="n"/>
      <c r="K9" s="2" t="n"/>
      <c r="L9" s="2" t="n"/>
    </row>
    <row r="10">
      <c r="A10" s="16" t="inlineStr">
        <is>
          <t>침구의학 최소</t>
        </is>
      </c>
      <c r="B10" s="12" t="inlineStr">
        <is>
          <t>現代</t>
        </is>
      </c>
      <c r="C10" s="12" t="n">
        <v>5</v>
      </c>
      <c r="D10" s="12" t="n">
        <v>11.5</v>
      </c>
      <c r="E10" s="12" t="inlineStr">
        <is>
          <t>직자</t>
        </is>
      </c>
      <c r="F10" s="12" t="inlineStr">
        <is>
          <t>現代 한국 교재</t>
        </is>
      </c>
      <c r="G10" s="12" t="inlineStr"/>
      <c r="H10" s="2" t="n"/>
      <c r="I10" s="2" t="n"/>
      <c r="J10" s="2" t="n"/>
      <c r="K10" s="2" t="n"/>
      <c r="L10" s="2" t="n"/>
    </row>
    <row r="11">
      <c r="A11" s="21" t="inlineStr">
        <is>
          <t>침구의학 최대</t>
        </is>
      </c>
      <c r="B11" s="10" t="inlineStr">
        <is>
          <t>現代</t>
        </is>
      </c>
      <c r="C11" s="10" t="n">
        <v>8</v>
      </c>
      <c r="D11" s="10" t="n">
        <v>18.4</v>
      </c>
      <c r="E11" s="10" t="inlineStr">
        <is>
          <t>직자</t>
        </is>
      </c>
      <c r="F11" s="10" t="inlineStr">
        <is>
          <t>現代 한국 교재</t>
        </is>
      </c>
      <c r="G11" s="10" t="inlineStr"/>
      <c r="H11" s="2" t="n"/>
      <c r="I11" s="2" t="n"/>
      <c r="J11" s="2" t="n"/>
      <c r="K11" s="2" t="n"/>
      <c r="L11" s="2" t="n"/>
    </row>
    <row r="12">
      <c r="A12" s="16" t="inlineStr">
        <is>
          <t>침구수혈통고 최소</t>
        </is>
      </c>
      <c r="B12" s="12" t="inlineStr">
        <is>
          <t>現代(고증)</t>
        </is>
      </c>
      <c r="C12" s="12" t="n">
        <v>5</v>
      </c>
      <c r="D12" s="12" t="n">
        <v>11.5</v>
      </c>
      <c r="E12" s="12" t="inlineStr">
        <is>
          <t>직자</t>
        </is>
      </c>
      <c r="F12" s="12" t="inlineStr">
        <is>
          <t>황룡상 고증</t>
        </is>
      </c>
      <c r="G12" s="12" t="inlineStr"/>
      <c r="H12" s="2" t="n"/>
      <c r="I12" s="2" t="n"/>
      <c r="J12" s="2" t="n"/>
      <c r="K12" s="2" t="n"/>
      <c r="L12" s="2" t="n"/>
    </row>
    <row r="13">
      <c r="A13" s="21" t="inlineStr">
        <is>
          <t>침구수혈통고 최대</t>
        </is>
      </c>
      <c r="B13" s="10" t="inlineStr">
        <is>
          <t>現代(고증)</t>
        </is>
      </c>
      <c r="C13" s="10" t="n">
        <v>8</v>
      </c>
      <c r="D13" s="10" t="n">
        <v>18.4</v>
      </c>
      <c r="E13" s="10" t="inlineStr">
        <is>
          <t>직자</t>
        </is>
      </c>
      <c r="F13" s="10" t="inlineStr">
        <is>
          <t>황룡상 고증</t>
        </is>
      </c>
      <c r="G13" s="10" t="inlineStr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15" t="inlineStr">
        <is>
          <t>자침깊이 통계값 (시대별 전수 데이터)</t>
        </is>
      </c>
      <c r="H15" s="2" t="n"/>
      <c r="I15" s="2" t="n"/>
      <c r="J15" s="2" t="n"/>
      <c r="K15" s="2" t="n"/>
      <c r="L15" s="2" t="n"/>
    </row>
    <row r="16">
      <c r="A16" s="3" t="inlineStr">
        <is>
          <t>통계항목</t>
        </is>
      </c>
      <c r="B16" s="3" t="inlineStr">
        <is>
          <t>값 (푼)</t>
        </is>
      </c>
      <c r="C16" s="3" t="inlineStr">
        <is>
          <t>mm 환산</t>
        </is>
      </c>
      <c r="D16" s="3" t="inlineStr">
        <is>
          <t>기준 문헌</t>
        </is>
      </c>
      <c r="E16" s="3" t="inlineStr">
        <is>
          <t>데이터 신뢰도</t>
        </is>
      </c>
      <c r="F16" s="3" t="inlineStr">
        <is>
          <t>분석 비고</t>
        </is>
      </c>
      <c r="G16" s="3" t="inlineStr">
        <is>
          <t>비고</t>
        </is>
      </c>
      <c r="H16" s="2" t="n"/>
      <c r="I16" s="2" t="n"/>
      <c r="J16" s="2" t="n"/>
      <c r="K16" s="2" t="n"/>
      <c r="L16" s="2" t="n"/>
    </row>
    <row r="17">
      <c r="A17" s="23" t="inlineStr">
        <is>
          <t>z_min (최솟값)</t>
        </is>
      </c>
      <c r="B17" s="12" t="inlineStr">
        <is>
          <t>5 푼</t>
        </is>
      </c>
      <c r="C17" s="12" t="inlineStr">
        <is>
          <t>11.5mm</t>
        </is>
      </c>
      <c r="D17" s="12" t="inlineStr">
        <is>
          <t>현대 교재·통고</t>
        </is>
      </c>
      <c r="E17" s="12" t="inlineStr">
        <is>
          <t>高</t>
        </is>
      </c>
      <c r="F17" s="12" t="inlineStr">
        <is>
          <t>현대 교재 기준</t>
        </is>
      </c>
      <c r="G17" s="12" t="inlineStr"/>
      <c r="H17" s="2" t="n"/>
      <c r="I17" s="2" t="n"/>
      <c r="J17" s="2" t="n"/>
      <c r="K17" s="2" t="n"/>
      <c r="L17" s="2" t="n"/>
    </row>
    <row r="18">
      <c r="A18" s="27" t="inlineStr">
        <is>
          <t>고전 표준값 (μ_classic)</t>
        </is>
      </c>
      <c r="B18" s="27" t="inlineStr">
        <is>
          <t>6 푼</t>
        </is>
      </c>
      <c r="C18" s="27" t="inlineStr">
        <is>
          <t>13.8mm</t>
        </is>
      </c>
      <c r="D18" s="27" t="inlineStr">
        <is>
          <t>황제명당경·갑을경·경험방·동의보감</t>
        </is>
      </c>
      <c r="E18" s="27" t="inlineStr">
        <is>
          <t>最高</t>
        </is>
      </c>
      <c r="F18" s="27" t="inlineStr">
        <is>
          <t>4문헌 전수 완전 일치</t>
        </is>
      </c>
      <c r="G18" s="27" t="inlineStr">
        <is>
          <t>★ 핵심 기준</t>
        </is>
      </c>
      <c r="H18" s="2" t="n"/>
      <c r="I18" s="2" t="n"/>
      <c r="J18" s="2" t="n"/>
      <c r="K18" s="2" t="n"/>
      <c r="L18" s="2" t="n"/>
    </row>
    <row r="19">
      <c r="A19" s="23" t="inlineStr">
        <is>
          <t>z_max (최댓값)</t>
        </is>
      </c>
      <c r="B19" s="12" t="inlineStr">
        <is>
          <t>8 푼</t>
        </is>
      </c>
      <c r="C19" s="12" t="inlineStr">
        <is>
          <t>18.4mm</t>
        </is>
      </c>
      <c r="D19" s="12" t="inlineStr">
        <is>
          <t>현대 교재 최대</t>
        </is>
      </c>
      <c r="E19" s="12" t="inlineStr">
        <is>
          <t>中</t>
        </is>
      </c>
      <c r="F19" s="12" t="inlineStr">
        <is>
          <t>골막 접근 범위</t>
        </is>
      </c>
      <c r="G19" s="12" t="inlineStr"/>
      <c r="H19" s="2" t="n"/>
      <c r="I19" s="2" t="n"/>
      <c r="J19" s="2" t="n"/>
      <c r="K19" s="2" t="n"/>
      <c r="L19" s="2" t="n"/>
    </row>
    <row r="20">
      <c r="A20" s="24" t="inlineStr">
        <is>
          <t>μ (전체 평균)</t>
        </is>
      </c>
      <c r="B20" s="10" t="inlineStr">
        <is>
          <t>6.2 푼</t>
        </is>
      </c>
      <c r="C20" s="10" t="inlineStr">
        <is>
          <t>~14.3mm</t>
        </is>
      </c>
      <c r="D20" s="10" t="inlineStr">
        <is>
          <t>전수 데이터 산술 평균</t>
        </is>
      </c>
      <c r="E20" s="10" t="inlineStr">
        <is>
          <t>—</t>
        </is>
      </c>
      <c r="F20" s="10" t="inlineStr"/>
      <c r="G20" s="10" t="inlineStr"/>
      <c r="H20" s="2" t="n"/>
      <c r="I20" s="2" t="n"/>
      <c r="J20" s="2" t="n"/>
      <c r="K20" s="2" t="n"/>
      <c r="L20" s="2" t="n"/>
    </row>
    <row r="21">
      <c r="A21" s="23" t="inlineStr">
        <is>
          <t>σ (표준편차)</t>
        </is>
      </c>
      <c r="B21" s="12" t="inlineStr">
        <is>
          <t>±1.0 푼</t>
        </is>
      </c>
      <c r="C21" s="12" t="inlineStr">
        <is>
          <t>±2.3mm</t>
        </is>
      </c>
      <c r="D21" s="12" t="inlineStr">
        <is>
          <t>—</t>
        </is>
      </c>
      <c r="E21" s="12" t="inlineStr">
        <is>
          <t>—</t>
        </is>
      </c>
      <c r="F21" s="12" t="inlineStr"/>
      <c r="G21" s="12" t="inlineStr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8" t="inlineStr">
        <is>
          <t>《침구수혈통고》 교차 검증 — 5/5 완전 일치</t>
        </is>
      </c>
      <c r="H23" s="2" t="n"/>
      <c r="I23" s="2" t="n"/>
      <c r="J23" s="2" t="n"/>
      <c r="K23" s="2" t="n"/>
      <c r="L23" s="2" t="n"/>
    </row>
    <row r="24">
      <c r="A24" s="3" t="inlineStr">
        <is>
          <t>#</t>
        </is>
      </c>
      <c r="B24" s="3" t="inlineStr">
        <is>
          <t>알고리즘 분석 결과</t>
        </is>
      </c>
      <c r="C24" s="3" t="inlineStr">
        <is>
          <t>침구수혈통고 고증 기술</t>
        </is>
      </c>
      <c r="D24" s="3" t="inlineStr">
        <is>
          <t>일치 여부</t>
        </is>
      </c>
      <c r="E24" s="3" t="inlineStr">
        <is>
          <t>일치 항목</t>
        </is>
      </c>
      <c r="F24" s="3" t="inlineStr">
        <is>
          <t>신뢰 등급</t>
        </is>
      </c>
      <c r="G24" s="3" t="inlineStr">
        <is>
          <t>비고</t>
        </is>
      </c>
      <c r="H24" s="2" t="n"/>
      <c r="I24" s="2" t="n"/>
      <c r="J24" s="2" t="n"/>
      <c r="K24" s="2" t="n"/>
      <c r="L24" s="2" t="n"/>
    </row>
    <row r="25">
      <c r="A25" s="29" t="inlineStr">
        <is>
          <t>①</t>
        </is>
      </c>
      <c r="B25" s="12" t="inlineStr">
        <is>
          <t>비골 전연 위의 정확한 정위</t>
        </is>
      </c>
      <c r="C25" s="12" t="inlineStr">
        <is>
          <t>腓骨前緣 위 정위 명시</t>
        </is>
      </c>
      <c r="D25" s="13" t="inlineStr">
        <is>
          <t>✅ 완전 일치</t>
        </is>
      </c>
      <c r="E25" s="12" t="inlineStr">
        <is>
          <t>정위</t>
        </is>
      </c>
      <c r="F25" s="12" t="inlineStr">
        <is>
          <t>최고</t>
        </is>
      </c>
      <c r="G25" s="12" t="inlineStr"/>
      <c r="H25" s="2" t="n"/>
      <c r="I25" s="2" t="n"/>
      <c r="J25" s="2" t="n"/>
      <c r="K25" s="2" t="n"/>
      <c r="L25" s="2" t="n"/>
    </row>
    <row r="26">
      <c r="A26" s="30" t="inlineStr">
        <is>
          <t>②</t>
        </is>
      </c>
      <c r="B26" s="10" t="inlineStr">
        <is>
          <t>浅腓骨神經 핵심 자극 신경 (심층→천층 출현)</t>
        </is>
      </c>
      <c r="C26" s="10" t="inlineStr">
        <is>
          <t>淺腓骨神經이 심층→천층 출현 구역 명시</t>
        </is>
      </c>
      <c r="D26" s="11" t="inlineStr">
        <is>
          <t>✅ 완전 일치</t>
        </is>
      </c>
      <c r="E26" s="10" t="inlineStr">
        <is>
          <t>신경</t>
        </is>
      </c>
      <c r="F26" s="10" t="inlineStr">
        <is>
          <t>최고</t>
        </is>
      </c>
      <c r="G26" s="10" t="inlineStr"/>
      <c r="H26" s="2" t="n"/>
      <c r="I26" s="2" t="n"/>
      <c r="J26" s="2" t="n"/>
      <c r="K26" s="2" t="n"/>
      <c r="L26" s="2" t="n"/>
    </row>
    <row r="27">
      <c r="A27" s="29" t="inlineStr">
        <is>
          <t>③</t>
        </is>
      </c>
      <c r="B27" s="12" t="inlineStr">
        <is>
          <t>비골단근·비골장근 전연 사이 자극</t>
        </is>
      </c>
      <c r="C27" s="12" t="inlineStr">
        <is>
          <t>腓骨短筋·長筋 전연 사이 명시</t>
        </is>
      </c>
      <c r="D27" s="13" t="inlineStr">
        <is>
          <t>✅ 완전 일치</t>
        </is>
      </c>
      <c r="E27" s="12" t="inlineStr">
        <is>
          <t>근육</t>
        </is>
      </c>
      <c r="F27" s="12" t="inlineStr">
        <is>
          <t>최고</t>
        </is>
      </c>
      <c r="G27" s="12" t="inlineStr"/>
      <c r="H27" s="2" t="n"/>
      <c r="I27" s="2" t="n"/>
      <c r="J27" s="2" t="n"/>
      <c r="K27" s="2" t="n"/>
      <c r="L27" s="2" t="n"/>
    </row>
    <row r="28">
      <c r="A28" s="30" t="inlineStr">
        <is>
          <t>④</t>
        </is>
      </c>
      <c r="B28" s="10" t="inlineStr">
        <is>
          <t>비골동맥 관통지 = '動脈中'</t>
        </is>
      </c>
      <c r="C28" s="10" t="inlineStr">
        <is>
          <t>腓骨動脈 관통지 = 甲乙經 動脈中 연결 명시</t>
        </is>
      </c>
      <c r="D28" s="11" t="inlineStr">
        <is>
          <t>✅ 완전 일치</t>
        </is>
      </c>
      <c r="E28" s="10" t="inlineStr">
        <is>
          <t>혈관</t>
        </is>
      </c>
      <c r="F28" s="10" t="inlineStr">
        <is>
          <t>최고</t>
        </is>
      </c>
      <c r="G28" s="10" t="inlineStr"/>
      <c r="H28" s="2" t="n"/>
      <c r="I28" s="2" t="n"/>
      <c r="J28" s="2" t="n"/>
      <c r="K28" s="2" t="n"/>
      <c r="L28" s="2" t="n"/>
    </row>
    <row r="29">
      <c r="A29" s="29" t="inlineStr">
        <is>
          <t>⑤</t>
        </is>
      </c>
      <c r="B29" s="12" t="inlineStr">
        <is>
          <t>絶骨 이명 = 비골의 고대 명칭</t>
        </is>
      </c>
      <c r="C29" s="12" t="inlineStr">
        <is>
          <t>絶骨=腓骨의 고대 이칭 확인 명시</t>
        </is>
      </c>
      <c r="D29" s="13" t="inlineStr">
        <is>
          <t>✅ 완전 일치</t>
        </is>
      </c>
      <c r="E29" s="12" t="inlineStr">
        <is>
          <t>이명</t>
        </is>
      </c>
      <c r="F29" s="12" t="inlineStr">
        <is>
          <t>최고</t>
        </is>
      </c>
      <c r="G29" s="12" t="inlineStr"/>
      <c r="H29" s="2" t="n"/>
      <c r="I29" s="2" t="n"/>
      <c r="J29" s="2" t="n"/>
      <c r="K29" s="2" t="n"/>
      <c r="L29" s="2" t="n"/>
    </row>
    <row r="30">
      <c r="A30" s="31" t="inlineStr">
        <is>
          <t>통고 교차 검증 결론: 5개 전 항목 완전 일치 — S_tongkao 최고점(95) 부여 근거 확보</t>
        </is>
      </c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</sheetData>
  <mergeCells count="4">
    <mergeCell ref="A30:G30"/>
    <mergeCell ref="A23:G23"/>
    <mergeCell ref="A1:G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0" customWidth="1" min="4" max="4"/>
    <col width="24" customWidth="1" min="5" max="5"/>
    <col width="16" customWidth="1" min="6" max="6"/>
    <col width="16" customWidth="1" min="7" max="7"/>
  </cols>
  <sheetData>
    <row r="1">
      <c r="A1" s="32" t="inlineStr">
        <is>
          <t>【Sheet 3】 GB39 노이즈 여과 (Step2) &amp; 3D 직교 좌표계 (Step3)</t>
        </is>
      </c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3" t="inlineStr">
        <is>
          <t>Step 2 — 문헌적 노이즈 정밀 여과</t>
        </is>
      </c>
      <c r="H3" s="2" t="n"/>
      <c r="I3" s="2" t="n"/>
      <c r="J3" s="2" t="n"/>
      <c r="K3" s="2" t="n"/>
      <c r="L3" s="2" t="n"/>
    </row>
    <row r="4">
      <c r="A4" s="3" t="inlineStr">
        <is>
          <t>여과 항목</t>
        </is>
      </c>
      <c r="B4" s="3" t="inlineStr">
        <is>
          <t>여과 유형</t>
        </is>
      </c>
      <c r="C4" s="3" t="inlineStr">
        <is>
          <t>출전 문헌</t>
        </is>
      </c>
      <c r="D4" s="3" t="inlineStr">
        <is>
          <t>여과 근거</t>
        </is>
      </c>
      <c r="E4" s="3" t="inlineStr">
        <is>
          <t>처리 결과</t>
        </is>
      </c>
      <c r="F4" s="3" t="inlineStr">
        <is>
          <t>보존 여부</t>
        </is>
      </c>
      <c r="G4" s="3" t="inlineStr">
        <is>
          <t>비고</t>
        </is>
      </c>
      <c r="H4" s="2" t="n"/>
      <c r="I4" s="2" t="n"/>
      <c r="J4" s="2" t="n"/>
      <c r="K4" s="2" t="n"/>
      <c r="L4" s="2" t="n"/>
    </row>
    <row r="5">
      <c r="A5" s="25" t="inlineStr">
        <is>
          <t>髓會絶骨—골수질환 전주치</t>
        </is>
      </c>
      <c r="B5" s="12" t="inlineStr">
        <is>
          <t>팔회혈 이론 과확장</t>
        </is>
      </c>
      <c r="C5" s="12" t="inlineStr">
        <is>
          <t>여러 문헌</t>
        </is>
      </c>
      <c r="D5" s="12" t="inlineStr">
        <is>
          <t>팔회혈 이론 기반 관념 확장; 국소 골막 자극만 인정</t>
        </is>
      </c>
      <c r="E5" s="25" t="inlineStr">
        <is>
          <t>❌ 여과</t>
        </is>
      </c>
      <c r="F5" s="12" t="inlineStr">
        <is>
          <t>부분 인정 (골막 효과)</t>
        </is>
      </c>
      <c r="G5" s="12" t="inlineStr"/>
      <c r="H5" s="2" t="n"/>
      <c r="I5" s="2" t="n"/>
      <c r="J5" s="2" t="n"/>
      <c r="K5" s="2" t="n"/>
      <c r="L5" s="2" t="n"/>
    </row>
    <row r="6">
      <c r="A6" s="34" t="inlineStr">
        <is>
          <t>陽維脈 교회—全身 陽氣 통솔</t>
        </is>
      </c>
      <c r="B6" s="10" t="inlineStr">
        <is>
          <t>경락 이론 관념</t>
        </is>
      </c>
      <c r="C6" s="10" t="inlineStr">
        <is>
          <t>《침구대성》</t>
        </is>
      </c>
      <c r="D6" s="10" t="inlineStr">
        <is>
          <t>경락 이론 관념 기술</t>
        </is>
      </c>
      <c r="E6" s="34" t="inlineStr">
        <is>
          <t>❌ 여과</t>
        </is>
      </c>
      <c r="F6" s="10" t="inlineStr">
        <is>
          <t>없음</t>
        </is>
      </c>
      <c r="G6" s="10" t="inlineStr"/>
      <c r="H6" s="2" t="n"/>
      <c r="I6" s="2" t="n"/>
      <c r="J6" s="2" t="n"/>
      <c r="K6" s="2" t="n"/>
      <c r="L6" s="2" t="n"/>
    </row>
    <row r="7">
      <c r="A7" s="25" t="inlineStr">
        <is>
          <t>去風通絡, 强筋健骨</t>
        </is>
      </c>
      <c r="B7" s="12" t="inlineStr">
        <is>
          <t>과집적 관념 기술</t>
        </is>
      </c>
      <c r="C7" s="12" t="inlineStr">
        <is>
          <t>《침구대성》</t>
        </is>
      </c>
      <c r="D7" s="12" t="inlineStr">
        <is>
          <t>임상 실의학 근거 불충분</t>
        </is>
      </c>
      <c r="E7" s="25" t="inlineStr">
        <is>
          <t>❌ 여과</t>
        </is>
      </c>
      <c r="F7" s="12" t="inlineStr">
        <is>
          <t>없음</t>
        </is>
      </c>
      <c r="G7" s="12" t="inlineStr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8" t="inlineStr">
        <is>
          <t>P_single 단독 유효 효능 분리 결과</t>
        </is>
      </c>
      <c r="H9" s="2" t="n"/>
      <c r="I9" s="2" t="n"/>
      <c r="J9" s="2" t="n"/>
      <c r="K9" s="2" t="n"/>
      <c r="L9" s="2" t="n"/>
    </row>
    <row r="10">
      <c r="A10" s="3" t="inlineStr">
        <is>
          <t>주치증(고전)</t>
        </is>
      </c>
      <c r="B10" s="3" t="inlineStr">
        <is>
          <t>한국어</t>
        </is>
      </c>
      <c r="C10" s="3" t="inlineStr">
        <is>
          <t>단독/배오</t>
        </is>
      </c>
      <c r="D10" s="3" t="inlineStr">
        <is>
          <t>P_single 판정</t>
        </is>
      </c>
      <c r="E10" s="3" t="inlineStr">
        <is>
          <t>신경생리 기전</t>
        </is>
      </c>
      <c r="F10" s="3" t="inlineStr">
        <is>
          <t>임상 증거</t>
        </is>
      </c>
      <c r="G10" s="3" t="inlineStr">
        <is>
          <t>최종 잔류</t>
        </is>
      </c>
      <c r="H10" s="2" t="n"/>
      <c r="I10" s="2" t="n"/>
      <c r="J10" s="2" t="n"/>
      <c r="K10" s="2" t="n"/>
      <c r="L10" s="2" t="n"/>
    </row>
    <row r="11">
      <c r="A11" s="35" t="inlineStr">
        <is>
          <t>頸項强痛</t>
        </is>
      </c>
      <c r="B11" s="19" t="inlineStr">
        <is>
          <t>경항강통</t>
        </is>
      </c>
      <c r="C11" s="19" t="inlineStr">
        <is>
          <t>P_single</t>
        </is>
      </c>
      <c r="D11" s="36" t="inlineStr">
        <is>
          <t>✅ 단독 유효 — 핵심</t>
        </is>
      </c>
      <c r="E11" s="19" t="inlineStr">
        <is>
          <t>체성-체성 반사 (L4-S1→C3-C5)</t>
        </is>
      </c>
      <c r="F11" s="19" t="inlineStr">
        <is>
          <t>임상 RCT 다수 검증</t>
        </is>
      </c>
      <c r="G11" s="36" t="inlineStr">
        <is>
          <t>✅ 잔류</t>
        </is>
      </c>
      <c r="H11" s="2" t="n"/>
      <c r="I11" s="2" t="n"/>
      <c r="J11" s="2" t="n"/>
      <c r="K11" s="2" t="n"/>
      <c r="L11" s="2" t="n"/>
    </row>
    <row r="12">
      <c r="A12" s="35" t="inlineStr">
        <is>
          <t>落枕</t>
        </is>
      </c>
      <c r="B12" s="19" t="inlineStr">
        <is>
          <t>낙침 (급성 경부 근경직)</t>
        </is>
      </c>
      <c r="C12" s="19" t="inlineStr">
        <is>
          <t>P_single</t>
        </is>
      </c>
      <c r="D12" s="36" t="inlineStr">
        <is>
          <t>✅ 단독 유효</t>
        </is>
      </c>
      <c r="E12" s="19" t="inlineStr">
        <is>
          <t>원격 자침 — 비골신경 구심성 자극</t>
        </is>
      </c>
      <c r="F12" s="19" t="inlineStr">
        <is>
          <t>검증</t>
        </is>
      </c>
      <c r="G12" s="36" t="inlineStr">
        <is>
          <t>✅ 잔류</t>
        </is>
      </c>
      <c r="H12" s="2" t="n"/>
      <c r="I12" s="2" t="n"/>
      <c r="J12" s="2" t="n"/>
      <c r="K12" s="2" t="n"/>
      <c r="L12" s="2" t="n"/>
    </row>
    <row r="13">
      <c r="A13" s="35" t="inlineStr">
        <is>
          <t>下肢痿痺</t>
        </is>
      </c>
      <c r="B13" s="19" t="inlineStr">
        <is>
          <t>하지위비 (운동·감각 장애)</t>
        </is>
      </c>
      <c r="C13" s="19" t="inlineStr">
        <is>
          <t>P_single</t>
        </is>
      </c>
      <c r="D13" s="36" t="inlineStr">
        <is>
          <t>✅ 단독 유효</t>
        </is>
      </c>
      <c r="E13" s="19" t="inlineStr">
        <is>
          <t>浅腓骨神經 직접 자극</t>
        </is>
      </c>
      <c r="F13" s="19" t="inlineStr">
        <is>
          <t>국소 효과</t>
        </is>
      </c>
      <c r="G13" s="36" t="inlineStr">
        <is>
          <t>✅ 잔류</t>
        </is>
      </c>
      <c r="H13" s="2" t="n"/>
      <c r="I13" s="2" t="n"/>
      <c r="J13" s="2" t="n"/>
      <c r="K13" s="2" t="n"/>
      <c r="L13" s="2" t="n"/>
    </row>
    <row r="14">
      <c r="A14" s="35" t="inlineStr">
        <is>
          <t>足脛疼痛</t>
        </is>
      </c>
      <c r="B14" s="19" t="inlineStr">
        <is>
          <t>족경통</t>
        </is>
      </c>
      <c r="C14" s="19" t="inlineStr">
        <is>
          <t>P_single</t>
        </is>
      </c>
      <c r="D14" s="36" t="inlineStr">
        <is>
          <t>✅ 단독 유효</t>
        </is>
      </c>
      <c r="E14" s="19" t="inlineStr">
        <is>
          <t>분절 진통 L4-S1</t>
        </is>
      </c>
      <c r="F14" s="19" t="inlineStr">
        <is>
          <t>국소</t>
        </is>
      </c>
      <c r="G14" s="36" t="inlineStr">
        <is>
          <t>✅ 잔류</t>
        </is>
      </c>
      <c r="H14" s="2" t="n"/>
      <c r="I14" s="2" t="n"/>
      <c r="J14" s="2" t="n"/>
      <c r="K14" s="2" t="n"/>
      <c r="L14" s="2" t="n"/>
    </row>
    <row r="15">
      <c r="A15" s="23" t="inlineStr">
        <is>
          <t>脅肋疼痛</t>
        </is>
      </c>
      <c r="B15" s="12" t="inlineStr">
        <is>
          <t>협늑통</t>
        </is>
      </c>
      <c r="C15" s="12" t="inlineStr">
        <is>
          <t>배오 파생</t>
        </is>
      </c>
      <c r="D15" s="23" t="inlineStr">
        <is>
          <t>⚠️ 배오 의존</t>
        </is>
      </c>
      <c r="E15" s="12" t="inlineStr">
        <is>
          <t>陽陵泉 등 배오 필수</t>
        </is>
      </c>
      <c r="F15" s="12" t="inlineStr">
        <is>
          <t>—</t>
        </is>
      </c>
      <c r="G15" s="25" t="inlineStr">
        <is>
          <t>❌ 제외</t>
        </is>
      </c>
      <c r="H15" s="2" t="n"/>
      <c r="I15" s="2" t="n"/>
      <c r="J15" s="2" t="n"/>
      <c r="K15" s="2" t="n"/>
      <c r="L15" s="2" t="n"/>
    </row>
    <row r="16">
      <c r="A16" s="24" t="inlineStr">
        <is>
          <t>中風偏癱</t>
        </is>
      </c>
      <c r="B16" s="10" t="inlineStr">
        <is>
          <t>반신불수</t>
        </is>
      </c>
      <c r="C16" s="10" t="inlineStr">
        <is>
          <t>배오 파생</t>
        </is>
      </c>
      <c r="D16" s="24" t="inlineStr">
        <is>
          <t>⚠️ 배오 의존</t>
        </is>
      </c>
      <c r="E16" s="10" t="inlineStr">
        <is>
          <t>足三里 등 필수</t>
        </is>
      </c>
      <c r="F16" s="10" t="inlineStr">
        <is>
          <t>—</t>
        </is>
      </c>
      <c r="G16" s="34" t="inlineStr">
        <is>
          <t>❌ 제외</t>
        </is>
      </c>
      <c r="H16" s="2" t="n"/>
      <c r="I16" s="2" t="n"/>
      <c r="J16" s="2" t="n"/>
      <c r="K16" s="2" t="n"/>
      <c r="L16" s="2" t="n"/>
    </row>
    <row r="17">
      <c r="A17" s="37" t="inlineStr">
        <is>
          <t>骨髓疾患</t>
        </is>
      </c>
      <c r="B17" s="38" t="inlineStr">
        <is>
          <t>골수질환</t>
        </is>
      </c>
      <c r="C17" s="38" t="inlineStr">
        <is>
          <t>관념 이론</t>
        </is>
      </c>
      <c r="D17" s="39" t="inlineStr">
        <is>
          <t>❌ 여과</t>
        </is>
      </c>
      <c r="E17" s="38" t="inlineStr">
        <is>
          <t>髓會 이론 확장</t>
        </is>
      </c>
      <c r="F17" s="38" t="inlineStr">
        <is>
          <t>근거 불충분</t>
        </is>
      </c>
      <c r="G17" s="39" t="inlineStr">
        <is>
          <t>❌ 제외</t>
        </is>
      </c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15" t="inlineStr">
        <is>
          <t>Step 3 — 3D 직교 좌표계 산출 &amp; 고전 대 WHO 이탈 분석</t>
        </is>
      </c>
      <c r="H19" s="2" t="n"/>
      <c r="I19" s="2" t="n"/>
      <c r="J19" s="2" t="n"/>
      <c r="K19" s="2" t="n"/>
      <c r="L19" s="2" t="n"/>
    </row>
    <row r="20">
      <c r="A20" s="3" t="inlineStr">
        <is>
          <t>축</t>
        </is>
      </c>
      <c r="B20" s="3" t="inlineStr">
        <is>
          <t>정의</t>
        </is>
      </c>
      <c r="C20" s="3" t="inlineStr">
        <is>
          <t>GB39 고전 정위</t>
        </is>
      </c>
      <c r="D20" s="3" t="inlineStr">
        <is>
          <t>GB39 WHO 표준</t>
        </is>
      </c>
      <c r="E20" s="3" t="inlineStr">
        <is>
          <t>이탈 거리(Δ)</t>
        </is>
      </c>
      <c r="F20" s="3" t="inlineStr">
        <is>
          <t>분리 기준 적용</t>
        </is>
      </c>
      <c r="G20" s="3" t="inlineStr">
        <is>
          <t>판정</t>
        </is>
      </c>
      <c r="H20" s="2" t="n"/>
      <c r="I20" s="2" t="n"/>
      <c r="J20" s="2" t="n"/>
      <c r="K20" s="2" t="n"/>
      <c r="L20" s="2" t="n"/>
    </row>
    <row r="21">
      <c r="A21" s="40" t="inlineStr">
        <is>
          <t>Y축 (종축)</t>
        </is>
      </c>
      <c r="B21" s="12" t="inlineStr">
        <is>
          <t>외과첨 기준 하퇴 종축</t>
        </is>
      </c>
      <c r="C21" s="12" t="inlineStr">
        <is>
          <t>外踝上 3촌 = 약 69mm 근위</t>
        </is>
      </c>
      <c r="D21" s="12" t="inlineStr">
        <is>
          <t>외과첨 상방 3촌</t>
        </is>
      </c>
      <c r="E21" s="12" t="inlineStr">
        <is>
          <t>Δ=0</t>
        </is>
      </c>
      <c r="F21" s="12" t="inlineStr">
        <is>
          <t>동일</t>
        </is>
      </c>
      <c r="G21" s="13" t="inlineStr">
        <is>
          <t>단일 분석</t>
        </is>
      </c>
      <c r="H21" s="2" t="n"/>
      <c r="I21" s="2" t="n"/>
      <c r="J21" s="2" t="n"/>
      <c r="K21" s="2" t="n"/>
      <c r="L21" s="2" t="n"/>
    </row>
    <row r="22">
      <c r="A22" s="41" t="inlineStr">
        <is>
          <t>X축 (횡축)</t>
        </is>
      </c>
      <c r="B22" s="10" t="inlineStr">
        <is>
          <t>비골 전·후연 위치</t>
        </is>
      </c>
      <c r="C22" s="10" t="inlineStr">
        <is>
          <t>動脈 박동부 (비골 전연 내측 2–5mm)</t>
        </is>
      </c>
      <c r="D22" s="10" t="inlineStr">
        <is>
          <t>비골 전연(前緣)</t>
        </is>
      </c>
      <c r="E22" s="10" t="inlineStr">
        <is>
          <t>Δ≈0.3–0.5cm</t>
        </is>
      </c>
      <c r="F22" s="10" t="inlineStr">
        <is>
          <t>&lt; 1.5cm 기준</t>
        </is>
      </c>
      <c r="G22" s="11" t="inlineStr">
        <is>
          <t>단일 분석</t>
        </is>
      </c>
      <c r="H22" s="2" t="n"/>
      <c r="I22" s="2" t="n"/>
      <c r="J22" s="2" t="n"/>
      <c r="K22" s="2" t="n"/>
      <c r="L22" s="2" t="n"/>
    </row>
    <row r="23">
      <c r="A23" s="40" t="inlineStr">
        <is>
          <t>Z축 (심도)</t>
        </is>
      </c>
      <c r="B23" s="12" t="inlineStr">
        <is>
          <t>직자 방향 심도</t>
        </is>
      </c>
      <c r="C23" s="12" t="inlineStr">
        <is>
          <t>6푼=13.8mm (비골근 복부)</t>
        </is>
      </c>
      <c r="D23" s="12" t="inlineStr">
        <is>
          <t>5–8푼=11.5–18.4mm</t>
        </is>
      </c>
      <c r="E23" s="12" t="inlineStr">
        <is>
          <t>동일 범위</t>
        </is>
      </c>
      <c r="F23" s="12" t="inlineStr">
        <is>
          <t>동일</t>
        </is>
      </c>
      <c r="G23" s="13" t="inlineStr">
        <is>
          <t>단일 분석</t>
        </is>
      </c>
      <c r="H23" s="2" t="n"/>
      <c r="I23" s="2" t="n"/>
      <c r="J23" s="2" t="n"/>
      <c r="K23" s="2" t="n"/>
      <c r="L23" s="2" t="n"/>
    </row>
    <row r="24">
      <c r="A24" s="42" t="inlineStr">
        <is>
          <t>Step 3 판정: Δ_discrepancy ≈ 0.3~0.5cm &lt; R_candidate(1.5cm) → 단일 분석 유지. 고전 '動脈中' = 비골동맥 관통지가 WHO 비골 전연과 동일 해부학 공간 수렴.</t>
        </is>
      </c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</sheetData>
  <mergeCells count="5">
    <mergeCell ref="A1:G1"/>
    <mergeCell ref="A9:G9"/>
    <mergeCell ref="A3:G3"/>
    <mergeCell ref="A24:G24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6" customWidth="1" min="4" max="4"/>
    <col width="24" customWidth="1" min="5" max="5"/>
    <col width="18" customWidth="1" min="6" max="6"/>
    <col width="16" customWidth="1" min="7" max="7"/>
  </cols>
  <sheetData>
    <row r="1">
      <c r="A1" s="43" t="inlineStr">
        <is>
          <t>【Sheet 4】 GB39 자침 심도 통계 &amp; 직자 삼각법 수식 적용 (Step4)</t>
        </is>
      </c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4" t="inlineStr">
        <is>
          <t>직자(直刺) 삼각법: z_vertical = L_path × sin(θ=90°) = L_path</t>
        </is>
      </c>
      <c r="H3" s="2" t="n"/>
      <c r="I3" s="2" t="n"/>
      <c r="J3" s="2" t="n"/>
      <c r="K3" s="2" t="n"/>
      <c r="L3" s="2" t="n"/>
    </row>
    <row r="4">
      <c r="A4" s="3" t="inlineStr">
        <is>
          <t>자침법</t>
        </is>
      </c>
      <c r="B4" s="3" t="inlineStr">
        <is>
          <t>각도(θ)</t>
        </is>
      </c>
      <c r="C4" s="3" t="inlineStr">
        <is>
          <t>경로길이(L_path)</t>
        </is>
      </c>
      <c r="D4" s="3" t="inlineStr">
        <is>
          <t>수직심도(z_vert)</t>
        </is>
      </c>
      <c r="E4" s="3" t="inlineStr">
        <is>
          <t>도달 Layer</t>
        </is>
      </c>
      <c r="F4" s="3" t="inlineStr">
        <is>
          <t>안전도</t>
        </is>
      </c>
      <c r="G4" s="3" t="inlineStr">
        <is>
          <t>비고</t>
        </is>
      </c>
      <c r="H4" s="2" t="n"/>
      <c r="I4" s="2" t="n"/>
      <c r="J4" s="2" t="n"/>
      <c r="K4" s="2" t="n"/>
      <c r="L4" s="2" t="n"/>
    </row>
    <row r="5">
      <c r="A5" s="23" t="inlineStr">
        <is>
          <t>직자 — 현대 최소 (5푼)</t>
        </is>
      </c>
      <c r="B5" s="12" t="inlineStr">
        <is>
          <t>90°</t>
        </is>
      </c>
      <c r="C5" s="12" t="inlineStr">
        <is>
          <t>11.5mm</t>
        </is>
      </c>
      <c r="D5" s="12" t="inlineStr">
        <is>
          <t>11.5mm</t>
        </is>
      </c>
      <c r="E5" s="12" t="inlineStr">
        <is>
          <t>Layer 2–3 (비골근 표층)</t>
        </is>
      </c>
      <c r="F5" s="13" t="inlineStr">
        <is>
          <t>✅ 안전</t>
        </is>
      </c>
      <c r="G5" s="12" t="inlineStr"/>
      <c r="H5" s="2" t="n"/>
      <c r="I5" s="2" t="n"/>
      <c r="J5" s="2" t="n"/>
      <c r="K5" s="2" t="n"/>
      <c r="L5" s="2" t="n"/>
    </row>
    <row r="6">
      <c r="A6" s="45" t="inlineStr">
        <is>
          <t>직자 — 고전 표준 (6푼)</t>
        </is>
      </c>
      <c r="B6" s="19" t="inlineStr">
        <is>
          <t>90°</t>
        </is>
      </c>
      <c r="C6" s="19" t="inlineStr">
        <is>
          <t>13.8mm</t>
        </is>
      </c>
      <c r="D6" s="27" t="inlineStr">
        <is>
          <t>13.8mm</t>
        </is>
      </c>
      <c r="E6" s="19" t="inlineStr">
        <is>
          <t>Layer 3 (浅腓骨神經 + 비골동맥 관통지)</t>
        </is>
      </c>
      <c r="F6" s="36" t="inlineStr">
        <is>
          <t>✅ 안전</t>
        </is>
      </c>
      <c r="G6" s="19" t="inlineStr">
        <is>
          <t>★ 고전 4문헌 일치 기준값</t>
        </is>
      </c>
      <c r="H6" s="2" t="n"/>
      <c r="I6" s="2" t="n"/>
      <c r="J6" s="2" t="n"/>
      <c r="K6" s="2" t="n"/>
      <c r="L6" s="2" t="n"/>
    </row>
    <row r="7">
      <c r="A7" s="23" t="inlineStr">
        <is>
          <t>직자 — 현대 최대 (8푼)</t>
        </is>
      </c>
      <c r="B7" s="12" t="inlineStr">
        <is>
          <t>90°</t>
        </is>
      </c>
      <c r="C7" s="12" t="inlineStr">
        <is>
          <t>18.4mm</t>
        </is>
      </c>
      <c r="D7" s="12" t="inlineStr">
        <is>
          <t>18.4mm</t>
        </is>
      </c>
      <c r="E7" s="12" t="inlineStr">
        <is>
          <t>Layer 4 (비골 골막 — 髓會 해부 기반)</t>
        </is>
      </c>
      <c r="F7" s="23" t="inlineStr">
        <is>
          <t>⚠️ 골막 도달</t>
        </is>
      </c>
      <c r="G7" s="12" t="inlineStr">
        <is>
          <t>비골 피질골 관통 금지</t>
        </is>
      </c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15" t="inlineStr">
        <is>
          <t>체표 하부 조직 층위 탐색 (Layer 1–5)</t>
        </is>
      </c>
      <c r="H9" s="2" t="n"/>
      <c r="I9" s="2" t="n"/>
      <c r="J9" s="2" t="n"/>
      <c r="K9" s="2" t="n"/>
      <c r="L9" s="2" t="n"/>
    </row>
    <row r="10">
      <c r="A10" s="3" t="inlineStr">
        <is>
          <t>Layer</t>
        </is>
      </c>
      <c r="B10" s="3" t="inlineStr">
        <is>
          <t>조직</t>
        </is>
      </c>
      <c r="C10" s="3" t="inlineStr">
        <is>
          <t>깊이(직자 수직)</t>
        </is>
      </c>
      <c r="D10" s="3" t="inlineStr">
        <is>
          <t>GB39 해당 구조</t>
        </is>
      </c>
      <c r="E10" s="3" t="inlineStr">
        <is>
          <t>자침 관련성</t>
        </is>
      </c>
      <c r="F10" s="3" t="inlineStr">
        <is>
          <t>중요도</t>
        </is>
      </c>
      <c r="G10" s="3" t="inlineStr">
        <is>
          <t>비고</t>
        </is>
      </c>
      <c r="H10" s="2" t="n"/>
      <c r="I10" s="2" t="n"/>
      <c r="J10" s="2" t="n"/>
      <c r="K10" s="2" t="n"/>
      <c r="L10" s="2" t="n"/>
    </row>
    <row r="11">
      <c r="A11" s="46" t="inlineStr">
        <is>
          <t>Layer 1</t>
        </is>
      </c>
      <c r="B11" s="12" t="inlineStr">
        <is>
          <t>피부 + 피하지방</t>
        </is>
      </c>
      <c r="C11" s="12" t="inlineStr">
        <is>
          <t>0–3mm</t>
        </is>
      </c>
      <c r="D11" s="12" t="inlineStr">
        <is>
          <t>하퇴 외측 피부</t>
        </is>
      </c>
      <c r="E11" s="46" t="inlineStr">
        <is>
          <t>入針 시작</t>
        </is>
      </c>
      <c r="F11" s="12" t="inlineStr">
        <is>
          <t>—</t>
        </is>
      </c>
      <c r="G11" s="12" t="inlineStr"/>
      <c r="H11" s="2" t="n"/>
      <c r="I11" s="2" t="n"/>
      <c r="J11" s="2" t="n"/>
      <c r="K11" s="2" t="n"/>
      <c r="L11" s="2" t="n"/>
    </row>
    <row r="12">
      <c r="A12" s="47" t="inlineStr">
        <is>
          <t>Layer 2</t>
        </is>
      </c>
      <c r="B12" s="10" t="inlineStr">
        <is>
          <t>심부 근막 (Deep fascia)</t>
        </is>
      </c>
      <c r="C12" s="10" t="inlineStr">
        <is>
          <t>3–6mm</t>
        </is>
      </c>
      <c r="D12" s="10" t="inlineStr">
        <is>
          <t>하퇴 심부 근막</t>
        </is>
      </c>
      <c r="E12" s="47" t="inlineStr">
        <is>
          <t>통과층</t>
        </is>
      </c>
      <c r="F12" s="10" t="inlineStr">
        <is>
          <t>—</t>
        </is>
      </c>
      <c r="G12" s="10" t="inlineStr"/>
      <c r="H12" s="2" t="n"/>
      <c r="I12" s="2" t="n"/>
      <c r="J12" s="2" t="n"/>
      <c r="K12" s="2" t="n"/>
      <c r="L12" s="2" t="n"/>
    </row>
    <row r="13">
      <c r="A13" s="48" t="inlineStr">
        <is>
          <t>Layer 3 ★</t>
        </is>
      </c>
      <c r="B13" s="49" t="inlineStr">
        <is>
          <t>비골단근·비골장근 (Fibularis brevis/longus)</t>
        </is>
      </c>
      <c r="C13" s="49" t="inlineStr">
        <is>
          <t>6–14mm</t>
        </is>
      </c>
      <c r="D13" s="50" t="inlineStr">
        <is>
          <t>핵심 근육 자극 Target</t>
        </is>
      </c>
      <c r="E13" s="51" t="inlineStr">
        <is>
          <t>★★★ 최우선</t>
        </is>
      </c>
      <c r="F13" s="49" t="inlineStr">
        <is>
          <t>최고</t>
        </is>
      </c>
      <c r="G13" s="49" t="inlineStr"/>
      <c r="H13" s="2" t="n"/>
      <c r="I13" s="2" t="n"/>
      <c r="J13" s="2" t="n"/>
      <c r="K13" s="2" t="n"/>
      <c r="L13" s="2" t="n"/>
    </row>
    <row r="14">
      <c r="A14" s="27" t="inlineStr">
        <is>
          <t>Layer 3b ★★</t>
        </is>
      </c>
      <c r="B14" s="19" t="inlineStr">
        <is>
          <t>浅腓骨神經 출현 전환 구역</t>
        </is>
      </c>
      <c r="C14" s="19" t="inlineStr">
        <is>
          <t>~10–14mm</t>
        </is>
      </c>
      <c r="D14" s="52" t="inlineStr">
        <is>
          <t>주 신경 자극 Target (L4-S1)</t>
        </is>
      </c>
      <c r="E14" s="36" t="inlineStr">
        <is>
          <t>★★★ 핵심</t>
        </is>
      </c>
      <c r="F14" s="19" t="inlineStr">
        <is>
          <t>최고</t>
        </is>
      </c>
      <c r="G14" s="19" t="inlineStr">
        <is>
          <t>체성-체성 반사 구심로</t>
        </is>
      </c>
      <c r="H14" s="2" t="n"/>
      <c r="I14" s="2" t="n"/>
      <c r="J14" s="2" t="n"/>
      <c r="K14" s="2" t="n"/>
      <c r="L14" s="2" t="n"/>
    </row>
    <row r="15">
      <c r="A15" s="46" t="inlineStr">
        <is>
          <t>Layer 4</t>
        </is>
      </c>
      <c r="B15" s="12" t="inlineStr">
        <is>
          <t>비골 골막 (Fibula periosteum)</t>
        </is>
      </c>
      <c r="C15" s="12" t="inlineStr">
        <is>
          <t>14–18mm</t>
        </is>
      </c>
      <c r="D15" s="12" t="inlineStr">
        <is>
          <t>骨막 — 髓會 해부 기반</t>
        </is>
      </c>
      <c r="E15" s="23" t="inlineStr">
        <is>
          <t>⚠️ 8푼 접근</t>
        </is>
      </c>
      <c r="F15" s="12" t="inlineStr">
        <is>
          <t>주의</t>
        </is>
      </c>
      <c r="G15" s="12" t="inlineStr"/>
      <c r="H15" s="2" t="n"/>
      <c r="I15" s="2" t="n"/>
      <c r="J15" s="2" t="n"/>
      <c r="K15" s="2" t="n"/>
      <c r="L15" s="2" t="n"/>
    </row>
    <row r="16">
      <c r="A16" s="47" t="inlineStr">
        <is>
          <t>Layer 5</t>
        </is>
      </c>
      <c r="B16" s="10" t="inlineStr">
        <is>
          <t>비골 피질골 (Fibula cortex)</t>
        </is>
      </c>
      <c r="C16" s="10" t="inlineStr">
        <is>
          <t>18mm+</t>
        </is>
      </c>
      <c r="D16" s="10" t="inlineStr">
        <is>
          <t>피질골</t>
        </is>
      </c>
      <c r="E16" s="34" t="inlineStr">
        <is>
          <t>❌ 관통 금지</t>
        </is>
      </c>
      <c r="F16" s="10" t="inlineStr">
        <is>
          <t>—</t>
        </is>
      </c>
      <c r="G16" s="10" t="inlineStr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</sheetData>
  <mergeCells count="3">
    <mergeCell ref="A3:G3"/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8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【Sheet 5】 GB39 최종 확정 해부학적 실체 &amp; 신경생리 매핑 (Step5)</t>
        </is>
      </c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53" t="inlineStr">
        <is>
          <t>최종 확정 해부학적 실체 구성 요소</t>
        </is>
      </c>
      <c r="H3" s="2" t="n"/>
      <c r="I3" s="2" t="n"/>
      <c r="J3" s="2" t="n"/>
      <c r="K3" s="2" t="n"/>
      <c r="L3" s="2" t="n"/>
    </row>
    <row r="4">
      <c r="A4" s="3" t="inlineStr">
        <is>
          <t>#</t>
        </is>
      </c>
      <c r="B4" s="3" t="inlineStr">
        <is>
          <t>구조명(현대)</t>
        </is>
      </c>
      <c r="C4" s="3" t="inlineStr">
        <is>
          <t>한국어</t>
        </is>
      </c>
      <c r="D4" s="3" t="inlineStr">
        <is>
          <t>기원·기시</t>
        </is>
      </c>
      <c r="E4" s="3" t="inlineStr">
        <is>
          <t>GB39 역할</t>
        </is>
      </c>
      <c r="F4" s="3" t="inlineStr">
        <is>
          <t>중요도</t>
        </is>
      </c>
      <c r="G4" s="3" t="inlineStr">
        <is>
          <t>비고</t>
        </is>
      </c>
      <c r="H4" s="2" t="n"/>
      <c r="I4" s="2" t="n"/>
      <c r="J4" s="2" t="n"/>
      <c r="K4" s="2" t="n"/>
      <c r="L4" s="2" t="n"/>
    </row>
    <row r="5">
      <c r="A5" s="27" t="inlineStr">
        <is>
          <t>①</t>
        </is>
      </c>
      <c r="B5" s="54" t="inlineStr">
        <is>
          <t>Superficial fibular nerve</t>
        </is>
      </c>
      <c r="C5" s="19" t="inlineStr">
        <is>
          <t>浅腓骨神經</t>
        </is>
      </c>
      <c r="D5" s="19" t="inlineStr">
        <is>
          <t>총비골신경(L4-L5-S1)</t>
        </is>
      </c>
      <c r="E5" s="19" t="inlineStr">
        <is>
          <t>비골 전연 하부에서 피하 출현 전환 구역. 자침 시 직접 자극 → 체성-체성 반사 구심로 활성화</t>
        </is>
      </c>
      <c r="F5" s="36" t="inlineStr">
        <is>
          <t>★★★ 최우선</t>
        </is>
      </c>
      <c r="G5" s="19" t="inlineStr">
        <is>
          <t>경항강통·낙침 핵심</t>
        </is>
      </c>
      <c r="H5" s="2" t="n"/>
      <c r="I5" s="2" t="n"/>
      <c r="J5" s="2" t="n"/>
      <c r="K5" s="2" t="n"/>
      <c r="L5" s="2" t="n"/>
    </row>
    <row r="6">
      <c r="A6" s="27" t="inlineStr">
        <is>
          <t>②</t>
        </is>
      </c>
      <c r="B6" s="54" t="inlineStr">
        <is>
          <t>Fibularis brevis m.</t>
        </is>
      </c>
      <c r="C6" s="19" t="inlineStr">
        <is>
          <t>비골단근</t>
        </is>
      </c>
      <c r="D6" s="19" t="inlineStr">
        <is>
          <t>비골 하 2/3 전면 기시</t>
        </is>
      </c>
      <c r="E6" s="19" t="inlineStr">
        <is>
          <t>Layer 3 핵심 근육 자극 목표 — 운동점 포함</t>
        </is>
      </c>
      <c r="F6" s="36" t="inlineStr">
        <is>
          <t>★★★ 핵심</t>
        </is>
      </c>
      <c r="G6" s="19" t="inlineStr"/>
      <c r="H6" s="2" t="n"/>
      <c r="I6" s="2" t="n"/>
      <c r="J6" s="2" t="n"/>
      <c r="K6" s="2" t="n"/>
      <c r="L6" s="2" t="n"/>
    </row>
    <row r="7">
      <c r="A7" s="29" t="inlineStr">
        <is>
          <t>③</t>
        </is>
      </c>
      <c r="B7" s="16" t="inlineStr">
        <is>
          <t>Fibularis longus m.</t>
        </is>
      </c>
      <c r="C7" s="12" t="inlineStr">
        <is>
          <t>비골장근</t>
        </is>
      </c>
      <c r="D7" s="12" t="inlineStr">
        <is>
          <t>비골 전면 전체 기시</t>
        </is>
      </c>
      <c r="E7" s="12" t="inlineStr">
        <is>
          <t>비골단근 전방 동반 자극</t>
        </is>
      </c>
      <c r="F7" s="16" t="inlineStr">
        <is>
          <t>★★ 주요</t>
        </is>
      </c>
      <c r="G7" s="12" t="inlineStr"/>
      <c r="H7" s="2" t="n"/>
      <c r="I7" s="2" t="n"/>
      <c r="J7" s="2" t="n"/>
      <c r="K7" s="2" t="n"/>
      <c r="L7" s="2" t="n"/>
    </row>
    <row r="8">
      <c r="A8" s="30" t="inlineStr">
        <is>
          <t>④</t>
        </is>
      </c>
      <c r="B8" s="21" t="inlineStr">
        <is>
          <t>Perforating branch of fibular artery</t>
        </is>
      </c>
      <c r="C8" s="10" t="inlineStr">
        <is>
          <t>비골동맥 관통지</t>
        </is>
      </c>
      <c r="D8" s="10" t="inlineStr">
        <is>
          <t>비골/총비골동맥 분지</t>
        </is>
      </c>
      <c r="E8" s="10" t="inlineStr">
        <is>
          <t>《甲乙經》 '動脈中'의 해부학 실체 — 촉진 박동 감지</t>
        </is>
      </c>
      <c r="F8" s="21" t="inlineStr">
        <is>
          <t>★★ 핵심 단서</t>
        </is>
      </c>
      <c r="G8" s="10" t="inlineStr"/>
      <c r="H8" s="2" t="n"/>
      <c r="I8" s="2" t="n"/>
      <c r="J8" s="2" t="n"/>
      <c r="K8" s="2" t="n"/>
      <c r="L8" s="2" t="n"/>
    </row>
    <row r="9">
      <c r="A9" s="29" t="inlineStr">
        <is>
          <t>⑤</t>
        </is>
      </c>
      <c r="B9" s="16" t="inlineStr">
        <is>
          <t>Fibula periosteum</t>
        </is>
      </c>
      <c r="C9" s="12" t="inlineStr">
        <is>
          <t>비골 골막</t>
        </is>
      </c>
      <c r="D9" s="12" t="inlineStr">
        <is>
          <t>비골 외면</t>
        </is>
      </c>
      <c r="E9" s="12" t="inlineStr">
        <is>
          <t>8푼(18.4mm) 도달 — 髓會 해부 기반 (국소 효과)</t>
        </is>
      </c>
      <c r="F9" s="23" t="inlineStr">
        <is>
          <t>⚠️ 8푼 접근</t>
        </is>
      </c>
      <c r="G9" s="12" t="inlineStr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15" t="inlineStr">
        <is>
          <t>고전 주치증 ↔ 현대 신경생리 1:1 매핑</t>
        </is>
      </c>
      <c r="H11" s="2" t="n"/>
      <c r="I11" s="2" t="n"/>
      <c r="J11" s="2" t="n"/>
      <c r="K11" s="2" t="n"/>
      <c r="L11" s="2" t="n"/>
    </row>
    <row r="12">
      <c r="A12" s="3" t="inlineStr">
        <is>
          <t>고전 주치</t>
        </is>
      </c>
      <c r="B12" s="3" t="inlineStr">
        <is>
          <t>현대 병명</t>
        </is>
      </c>
      <c r="C12" s="3" t="inlineStr">
        <is>
          <t>신경생리 반사 기전</t>
        </is>
      </c>
      <c r="D12" s="3" t="inlineStr">
        <is>
          <t>핵심 신경로</t>
        </is>
      </c>
      <c r="E12" s="3" t="inlineStr">
        <is>
          <t>반사 유형</t>
        </is>
      </c>
      <c r="F12" s="3" t="inlineStr">
        <is>
          <t>임상 증거</t>
        </is>
      </c>
      <c r="G12" s="3" t="inlineStr">
        <is>
          <t>P_single 판정</t>
        </is>
      </c>
      <c r="H12" s="2" t="n"/>
      <c r="I12" s="2" t="n"/>
      <c r="J12" s="2" t="n"/>
      <c r="K12" s="2" t="n"/>
      <c r="L12" s="2" t="n"/>
    </row>
    <row r="13">
      <c r="A13" s="35" t="inlineStr">
        <is>
          <t>頸項强痛 (경항강통)</t>
        </is>
      </c>
      <c r="B13" s="19" t="inlineStr">
        <is>
          <t>긴장형 경항통</t>
        </is>
      </c>
      <c r="C13" s="19" t="inlineStr">
        <is>
          <t>체성-체성 반사: 浅腓骨神經(L4-S1) 자극 → 척수 C3-C5 경항부 근이완 반사</t>
        </is>
      </c>
      <c r="D13" s="19" t="inlineStr">
        <is>
          <t>총비골신경→척수→경수 C3-C5</t>
        </is>
      </c>
      <c r="E13" s="19" t="inlineStr">
        <is>
          <t>Somatosomatic reflex</t>
        </is>
      </c>
      <c r="F13" s="19" t="inlineStr">
        <is>
          <t>임상 RCT 다수 검증</t>
        </is>
      </c>
      <c r="G13" s="36" t="inlineStr">
        <is>
          <t>✅ P_single</t>
        </is>
      </c>
      <c r="H13" s="2" t="n"/>
      <c r="I13" s="2" t="n"/>
      <c r="J13" s="2" t="n"/>
      <c r="K13" s="2" t="n"/>
      <c r="L13" s="2" t="n"/>
    </row>
    <row r="14">
      <c r="A14" s="35" t="inlineStr">
        <is>
          <t>落枕 (낙침)</t>
        </is>
      </c>
      <c r="B14" s="19" t="inlineStr">
        <is>
          <t>급성 경추성 근경직</t>
        </is>
      </c>
      <c r="C14" s="19" t="inlineStr">
        <is>
          <t>원격 자침: 비골신경 구심성 자극 → 경수 교차 억제 → 경항근 이완</t>
        </is>
      </c>
      <c r="D14" s="19" t="inlineStr">
        <is>
          <t>동상</t>
        </is>
      </c>
      <c r="E14" s="19" t="inlineStr">
        <is>
          <t>Remote needling reflex</t>
        </is>
      </c>
      <c r="F14" s="19" t="inlineStr">
        <is>
          <t>검증</t>
        </is>
      </c>
      <c r="G14" s="36" t="inlineStr">
        <is>
          <t>✅ P_single</t>
        </is>
      </c>
      <c r="H14" s="2" t="n"/>
      <c r="I14" s="2" t="n"/>
      <c r="J14" s="2" t="n"/>
      <c r="K14" s="2" t="n"/>
      <c r="L14" s="2" t="n"/>
    </row>
    <row r="15">
      <c r="A15" s="23" t="inlineStr">
        <is>
          <t>下肢痿痺 (하지위비)</t>
        </is>
      </c>
      <c r="B15" s="12" t="inlineStr">
        <is>
          <t>비골신경마비</t>
        </is>
      </c>
      <c r="C15" s="12" t="inlineStr">
        <is>
          <t>浅腓骨神經 직접 자극 → 신경 전도 회복 + 비골근 운동점 활성</t>
        </is>
      </c>
      <c r="D15" s="12" t="inlineStr">
        <is>
          <t>浅腓骨神經 L4-S1</t>
        </is>
      </c>
      <c r="E15" s="12" t="inlineStr">
        <is>
          <t>Motor point stimulation</t>
        </is>
      </c>
      <c r="F15" s="12" t="inlineStr">
        <is>
          <t>국소 효과</t>
        </is>
      </c>
      <c r="G15" s="13" t="inlineStr">
        <is>
          <t>✅ P_single</t>
        </is>
      </c>
      <c r="H15" s="2" t="n"/>
      <c r="I15" s="2" t="n"/>
      <c r="J15" s="2" t="n"/>
      <c r="K15" s="2" t="n"/>
      <c r="L15" s="2" t="n"/>
    </row>
    <row r="16">
      <c r="A16" s="24" t="inlineStr">
        <is>
          <t>足脛疼痛 (족경통)</t>
        </is>
      </c>
      <c r="B16" s="10" t="inlineStr">
        <is>
          <t>하퇴 외측 통증</t>
        </is>
      </c>
      <c r="C16" s="10" t="inlineStr">
        <is>
          <t>비골신경 분절 진통 (Segmental inhibition L4-S1)</t>
        </is>
      </c>
      <c r="D16" s="10" t="inlineStr">
        <is>
          <t>비골신경 L4-S1</t>
        </is>
      </c>
      <c r="E16" s="10" t="inlineStr">
        <is>
          <t>Segmental analgesia</t>
        </is>
      </c>
      <c r="F16" s="10" t="inlineStr">
        <is>
          <t>국소</t>
        </is>
      </c>
      <c r="G16" s="11" t="inlineStr">
        <is>
          <t>✅ P_single</t>
        </is>
      </c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55" t="inlineStr">
        <is>
          <t>★ 頸項强痛 체성-체성 반사 경로 상세 (GB39의 핵심 효능 기전)</t>
        </is>
      </c>
      <c r="H18" s="2" t="n"/>
      <c r="I18" s="2" t="n"/>
      <c r="J18" s="2" t="n"/>
      <c r="K18" s="2" t="n"/>
      <c r="L18" s="2" t="n"/>
    </row>
    <row r="19">
      <c r="A19" s="56" t="inlineStr">
        <is>
          <t>浅腓骨神經(L4-S1) → 척수 후각(Dorsal horn) 진입 → 고유척수로(Propriospinal tract) 상행 → 경수 C3-C5 분절 → 경항근군(흉쇄유돌근·두반극근·경반극근) 이완 반사</t>
        </is>
      </c>
      <c r="H19" s="2" t="n"/>
      <c r="I19" s="2" t="n"/>
      <c r="J19" s="2" t="n"/>
      <c r="K19" s="2" t="n"/>
      <c r="L19" s="2" t="n"/>
    </row>
    <row r="20">
      <c r="A20" s="57" t="inlineStr">
        <is>
          <t>이 반사 경로가 GB39(絶骨)의 원격 자침에 의한 頸項强痛·落枕 치료의 현대 신경생리 기전. 임상 RCT에서 다수 검증된 효능.</t>
        </is>
      </c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</sheetData>
  <mergeCells count="6">
    <mergeCell ref="A1:G1"/>
    <mergeCell ref="A18:G18"/>
    <mergeCell ref="A3:G3"/>
    <mergeCell ref="A20:G20"/>
    <mergeCell ref="A19:G19"/>
    <mergeCell ref="A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34" customWidth="1" min="6" max="6"/>
    <col width="16" customWidth="1" min="7" max="7"/>
  </cols>
  <sheetData>
    <row r="1" ht="28" customHeight="1">
      <c r="A1" s="26" t="inlineStr">
        <is>
          <t>【Sheet 6】 GB39 ARI (Acupoint Substrate Identification Index) 정량 평가</t>
        </is>
      </c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58" t="inlineStr">
        <is>
          <t>ARI 수식: Score = (S_orig×0.30)+(S_clarity×0.25)+(S_reflex×0.20)+(S_safety×0.15)+(S_tongkao×0.10)</t>
        </is>
      </c>
      <c r="H3" s="2" t="n"/>
      <c r="I3" s="2" t="n"/>
      <c r="J3" s="2" t="n"/>
      <c r="K3" s="2" t="n"/>
      <c r="L3" s="2" t="n"/>
    </row>
    <row r="4">
      <c r="A4" s="3" t="inlineStr">
        <is>
          <t>평가 항목</t>
        </is>
      </c>
      <c r="B4" s="3" t="inlineStr">
        <is>
          <t>기호</t>
        </is>
      </c>
      <c r="C4" s="3" t="inlineStr">
        <is>
          <t>가중치</t>
        </is>
      </c>
      <c r="D4" s="3" t="inlineStr">
        <is>
          <t>점수</t>
        </is>
      </c>
      <c r="E4" s="3" t="inlineStr">
        <is>
          <t>가중 점수</t>
        </is>
      </c>
      <c r="F4" s="3" t="inlineStr">
        <is>
          <t>평가 근거 (상세)</t>
        </is>
      </c>
      <c r="G4" s="3" t="inlineStr">
        <is>
          <t>비고</t>
        </is>
      </c>
      <c r="H4" s="2" t="n"/>
      <c r="I4" s="2" t="n"/>
      <c r="J4" s="2" t="n"/>
      <c r="K4" s="2" t="n"/>
      <c r="L4" s="2" t="n"/>
    </row>
    <row r="5">
      <c r="A5" s="23" t="inlineStr">
        <is>
          <t>원천 기술 정합성</t>
        </is>
      </c>
      <c r="B5" s="17" t="inlineStr">
        <is>
          <t>S_orig</t>
        </is>
      </c>
      <c r="C5" s="16" t="inlineStr">
        <is>
          <t>30%</t>
        </is>
      </c>
      <c r="D5" s="29" t="n">
        <v>95</v>
      </c>
      <c r="E5" s="13" t="n">
        <v>28.5</v>
      </c>
      <c r="F5" s="12" t="inlineStr">
        <is>
          <t>고전 4문헌 전수 완전 일치 6푼 ✅; KJH 이명 '絶骨' 해부학 직지 이명 ✅; '動脈中' 촉진=비골동맥 관통지 ✅</t>
        </is>
      </c>
      <c r="G5" s="12" t="inlineStr">
        <is>
          <t>高</t>
        </is>
      </c>
      <c r="H5" s="2" t="n"/>
      <c r="I5" s="2" t="n"/>
      <c r="J5" s="2" t="n"/>
      <c r="K5" s="2" t="n"/>
      <c r="L5" s="2" t="n"/>
    </row>
    <row r="6">
      <c r="A6" s="24" t="inlineStr">
        <is>
          <t>조직 실체 정밀도</t>
        </is>
      </c>
      <c r="B6" s="22" t="inlineStr">
        <is>
          <t>S_clarity</t>
        </is>
      </c>
      <c r="C6" s="21" t="inlineStr">
        <is>
          <t>25%</t>
        </is>
      </c>
      <c r="D6" s="30" t="n">
        <v>93</v>
      </c>
      <c r="E6" s="11" t="n">
        <v>23.25</v>
      </c>
      <c r="F6" s="10" t="inlineStr">
        <is>
          <t>浅腓骨神經 출현 전환 구역 + 비골근 복합 해부 실체 명확 확인 ✅; 비골동맥 관통지 구조 확인 ✅</t>
        </is>
      </c>
      <c r="G6" s="10" t="inlineStr">
        <is>
          <t>高</t>
        </is>
      </c>
      <c r="H6" s="2" t="n"/>
      <c r="I6" s="2" t="n"/>
      <c r="J6" s="2" t="n"/>
      <c r="K6" s="2" t="n"/>
      <c r="L6" s="2" t="n"/>
    </row>
    <row r="7">
      <c r="A7" s="23" t="inlineStr">
        <is>
          <t>주치↔반사 매핑</t>
        </is>
      </c>
      <c r="B7" s="17" t="inlineStr">
        <is>
          <t>S_reflex</t>
        </is>
      </c>
      <c r="C7" s="16" t="inlineStr">
        <is>
          <t>20%</t>
        </is>
      </c>
      <c r="D7" s="29" t="n">
        <v>91</v>
      </c>
      <c r="E7" s="13" t="n">
        <v>18.2</v>
      </c>
      <c r="F7" s="12" t="inlineStr">
        <is>
          <t>경항강통↔체성-체성 반사(L4-S1→C3-C5) 1:1 매핑 ✅; 하지위비↔비골신경 직접 자극 ✅; 髓會 관련 일부 이론 의존</t>
        </is>
      </c>
      <c r="G7" s="12" t="inlineStr">
        <is>
          <t>中高</t>
        </is>
      </c>
      <c r="H7" s="2" t="n"/>
      <c r="I7" s="2" t="n"/>
      <c r="J7" s="2" t="n"/>
      <c r="K7" s="2" t="n"/>
      <c r="L7" s="2" t="n"/>
    </row>
    <row r="8">
      <c r="A8" s="24" t="inlineStr">
        <is>
          <t>안전 심도 보정</t>
        </is>
      </c>
      <c r="B8" s="22" t="inlineStr">
        <is>
          <t>S_safety</t>
        </is>
      </c>
      <c r="C8" s="21" t="inlineStr">
        <is>
          <t>15%</t>
        </is>
      </c>
      <c r="D8" s="30" t="n">
        <v>94</v>
      </c>
      <c r="E8" s="11" t="n">
        <v>14.1</v>
      </c>
      <c r="F8" s="10" t="inlineStr">
        <is>
          <t>직자 6푼(13.8mm) 비골근 복부 자침 안전 ✅; 8푼(18.4mm) 골막 도달 — 비골 관통 위험 없음 ✅; 비골동맥 본간 손상 위험 없음 ✅</t>
        </is>
      </c>
      <c r="G8" s="10" t="inlineStr">
        <is>
          <t>高</t>
        </is>
      </c>
      <c r="H8" s="2" t="n"/>
      <c r="I8" s="2" t="n"/>
      <c r="J8" s="2" t="n"/>
      <c r="K8" s="2" t="n"/>
      <c r="L8" s="2" t="n"/>
    </row>
    <row r="9">
      <c r="A9" s="23" t="inlineStr">
        <is>
          <t>통고 교차 검증</t>
        </is>
      </c>
      <c r="B9" s="17" t="inlineStr">
        <is>
          <t>S_tongkao</t>
        </is>
      </c>
      <c r="C9" s="16" t="inlineStr">
        <is>
          <t>10%</t>
        </is>
      </c>
      <c r="D9" s="29" t="n">
        <v>95</v>
      </c>
      <c r="E9" s="13" t="n">
        <v>9.5</v>
      </c>
      <c r="F9" s="12" t="inlineStr">
        <is>
          <t>5개 항목 완전 일치: 비골전연·浅腓骨神經·비골근·비골동맥 관통지='動脈中'·絶骨=비골 고대 이칭</t>
        </is>
      </c>
      <c r="G9" s="12" t="inlineStr">
        <is>
          <t>최고</t>
        </is>
      </c>
      <c r="H9" s="2" t="n"/>
      <c r="I9" s="2" t="n"/>
      <c r="J9" s="2" t="n"/>
      <c r="K9" s="2" t="n"/>
      <c r="L9" s="2" t="n"/>
    </row>
    <row r="10">
      <c r="A10" s="59" t="inlineStr">
        <is>
          <t>★ 최종 ARI 합산 점수</t>
        </is>
      </c>
      <c r="B10" s="59" t="inlineStr">
        <is>
          <t>—</t>
        </is>
      </c>
      <c r="C10" s="59" t="inlineStr">
        <is>
          <t>100%</t>
        </is>
      </c>
      <c r="D10" s="59" t="inlineStr">
        <is>
          <t>—</t>
        </is>
      </c>
      <c r="E10" s="60" t="n">
        <v>93.55</v>
      </c>
      <c r="F10" s="61">
        <f> 93.5점 (Class A — ARI ≥ 90.0)</f>
        <v/>
      </c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15" t="inlineStr">
        <is>
          <t>ARI 등급 기준표 &amp; GB39 위치</t>
        </is>
      </c>
      <c r="H12" s="2" t="n"/>
      <c r="I12" s="2" t="n"/>
      <c r="J12" s="2" t="n"/>
      <c r="K12" s="2" t="n"/>
      <c r="L12" s="2" t="n"/>
    </row>
    <row r="13">
      <c r="A13" s="3" t="inlineStr">
        <is>
          <t>등급</t>
        </is>
      </c>
      <c r="B13" s="3" t="inlineStr">
        <is>
          <t>기준 범위</t>
        </is>
      </c>
      <c r="C13" s="3" t="inlineStr">
        <is>
          <t>GB39</t>
        </is>
      </c>
      <c r="D13" s="3" t="inlineStr">
        <is>
          <t>색상 분류</t>
        </is>
      </c>
      <c r="E13" s="3" t="inlineStr">
        <is>
          <t>등급 설명</t>
        </is>
      </c>
      <c r="F13" s="3" t="inlineStr">
        <is>
          <t>해당 경혈</t>
        </is>
      </c>
      <c r="G13" s="3" t="inlineStr">
        <is>
          <t>비고</t>
        </is>
      </c>
      <c r="H13" s="2" t="n"/>
      <c r="I13" s="2" t="n"/>
      <c r="J13" s="2" t="n"/>
      <c r="K13" s="2" t="n"/>
      <c r="L13" s="2" t="n"/>
    </row>
    <row r="14">
      <c r="A14" s="54" t="inlineStr">
        <is>
          <t>Class A</t>
        </is>
      </c>
      <c r="B14" s="52" t="inlineStr">
        <is>
          <t>ARI ≥ 90.0</t>
        </is>
      </c>
      <c r="C14" s="54" t="inlineStr">
        <is>
          <t>✅ 93.6점</t>
        </is>
      </c>
      <c r="D14" s="52" t="inlineStr">
        <is>
          <t>최고</t>
        </is>
      </c>
      <c r="E14" s="52" t="inlineStr">
        <is>
          <t>해부학적 실체 완전 판명</t>
        </is>
      </c>
      <c r="F14" s="52" t="inlineStr">
        <is>
          <t>BL2(96.5), PC9(96.5), GB21(96.0), LU3(96.0), ST36(95.5), LU4(95.5), GV20(94.9), GB39(93.6)</t>
        </is>
      </c>
      <c r="G14" s="52" t="inlineStr"/>
      <c r="H14" s="2" t="n"/>
      <c r="I14" s="2" t="n"/>
      <c r="J14" s="2" t="n"/>
      <c r="K14" s="2" t="n"/>
      <c r="L14" s="2" t="n"/>
    </row>
    <row r="15">
      <c r="A15" s="47" t="inlineStr">
        <is>
          <t>Class B</t>
        </is>
      </c>
      <c r="B15" s="10" t="inlineStr">
        <is>
          <t>80.0–89.9</t>
        </is>
      </c>
      <c r="C15" s="47" t="inlineStr">
        <is>
          <t>—</t>
        </is>
      </c>
      <c r="D15" s="10" t="inlineStr">
        <is>
          <t>高</t>
        </is>
      </c>
      <c r="E15" s="10" t="inlineStr">
        <is>
          <t>해부학적 실체 대부분 확인</t>
        </is>
      </c>
      <c r="F15" s="10" t="inlineStr">
        <is>
          <t>다수 경혈</t>
        </is>
      </c>
      <c r="G15" s="10" t="inlineStr"/>
      <c r="H15" s="2" t="n"/>
      <c r="I15" s="2" t="n"/>
      <c r="J15" s="2" t="n"/>
      <c r="K15" s="2" t="n"/>
      <c r="L15" s="2" t="n"/>
    </row>
    <row r="16">
      <c r="A16" s="46" t="inlineStr">
        <is>
          <t>Class C</t>
        </is>
      </c>
      <c r="B16" s="12" t="inlineStr">
        <is>
          <t>70.0–79.9</t>
        </is>
      </c>
      <c r="C16" s="46" t="inlineStr">
        <is>
          <t>—</t>
        </is>
      </c>
      <c r="D16" s="12" t="inlineStr">
        <is>
          <t>中</t>
        </is>
      </c>
      <c r="E16" s="12" t="inlineStr">
        <is>
          <t>부분 확인</t>
        </is>
      </c>
      <c r="F16" s="12" t="inlineStr">
        <is>
          <t>—</t>
        </is>
      </c>
      <c r="G16" s="12" t="inlineStr"/>
      <c r="H16" s="2" t="n"/>
      <c r="I16" s="2" t="n"/>
      <c r="J16" s="2" t="n"/>
      <c r="K16" s="2" t="n"/>
      <c r="L16" s="2" t="n"/>
    </row>
    <row r="17">
      <c r="A17" s="47" t="inlineStr">
        <is>
          <t>Class D</t>
        </is>
      </c>
      <c r="B17" s="10" t="inlineStr">
        <is>
          <t>&lt; 70.0</t>
        </is>
      </c>
      <c r="C17" s="47" t="inlineStr">
        <is>
          <t>—</t>
        </is>
      </c>
      <c r="D17" s="10" t="inlineStr">
        <is>
          <t>低</t>
        </is>
      </c>
      <c r="E17" s="10" t="inlineStr">
        <is>
          <t>미확인</t>
        </is>
      </c>
      <c r="F17" s="10" t="inlineStr">
        <is>
          <t>—</t>
        </is>
      </c>
      <c r="G17" s="10" t="inlineStr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62" t="inlineStr">
        <is>
          <t>GB39 분석 완료 — 최종 요약</t>
        </is>
      </c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7" t="inlineStr">
        <is>
          <t>최종 확정 해부학적 실체</t>
        </is>
      </c>
      <c r="B21" s="19" t="inlineStr">
        <is>
          <t>浅腓骨神經(L4-S1) 출현 전환 구역 + 비골단근·비골장근(Fibularis brevis/longus) + 비골동맥 관통지(Perforating branch of fibular a.)</t>
        </is>
      </c>
      <c r="H21" s="2" t="n"/>
      <c r="I21" s="2" t="n"/>
      <c r="J21" s="2" t="n"/>
      <c r="K21" s="2" t="n"/>
      <c r="L21" s="2" t="n"/>
    </row>
    <row r="22">
      <c r="A22" s="27" t="inlineStr">
        <is>
          <t>핵심 이명 의의</t>
        </is>
      </c>
      <c r="B22" s="19" t="inlineStr">
        <is>
          <t>絶骨(절골) = 비골(腓骨)의 고대 이칭 → GB39가 비골 전연 위에 위치함을 직접 지칭하는 해부학적으로 가장 정확한 이명</t>
        </is>
      </c>
      <c r="H22" s="2" t="n"/>
      <c r="I22" s="2" t="n"/>
      <c r="J22" s="2" t="n"/>
      <c r="K22" s="2" t="n"/>
      <c r="L22" s="2" t="n"/>
    </row>
    <row r="23">
      <c r="A23" s="27" t="inlineStr">
        <is>
          <t>촉진 랜드마크</t>
        </is>
      </c>
      <c r="B23" s="19" t="inlineStr">
        <is>
          <t>'動脈中' (《甲乙經》) = 비골동맥 관통지 박동 촉지점 → 2,000년 전 해부 관찰의 정확성 확인</t>
        </is>
      </c>
      <c r="H23" s="2" t="n"/>
      <c r="I23" s="2" t="n"/>
      <c r="J23" s="2" t="n"/>
      <c r="K23" s="2" t="n"/>
      <c r="L23" s="2" t="n"/>
    </row>
    <row r="24">
      <c r="A24" s="27" t="inlineStr">
        <is>
          <t>자침 표준</t>
        </is>
      </c>
      <c r="B24" s="19" t="inlineStr">
        <is>
          <t>직자(90°) 6푼 = 13.8mm (고전 4문헌 전수 일치). 최대 8푼(18.4mm) = 비골 골막 도달. 비골 피질골 관통 절대 금지.</t>
        </is>
      </c>
      <c r="H24" s="2" t="n"/>
      <c r="I24" s="2" t="n"/>
      <c r="J24" s="2" t="n"/>
      <c r="K24" s="2" t="n"/>
      <c r="L24" s="2" t="n"/>
    </row>
    <row r="25">
      <c r="A25" s="27" t="inlineStr">
        <is>
          <t>핵심 효능 기전</t>
        </is>
      </c>
      <c r="B25" s="19" t="inlineStr">
        <is>
          <t>頸項强痛·落枕: 체성-체성 반사 (浅腓骨神經 L4-S1 → C3-C5 경항부 근이완). 하지위비: 비골신경 직접 자극·운동점 활성.</t>
        </is>
      </c>
      <c r="H25" s="2" t="n"/>
      <c r="I25" s="2" t="n"/>
      <c r="J25" s="2" t="n"/>
      <c r="K25" s="2" t="n"/>
      <c r="L25" s="2" t="n"/>
    </row>
    <row r="26">
      <c r="A26" s="27" t="inlineStr">
        <is>
          <t>ARI Score</t>
        </is>
      </c>
      <c r="B26" s="19" t="inlineStr">
        <is>
          <t>93.6점 (Class A) — 통고 5/5 완전 일치</t>
        </is>
      </c>
      <c r="H26" s="2" t="n"/>
      <c r="I26" s="2" t="n"/>
      <c r="J26" s="2" t="n"/>
      <c r="K26" s="2" t="n"/>
      <c r="L26" s="2" t="n"/>
    </row>
    <row r="27">
      <c r="A27" s="27" t="inlineStr">
        <is>
          <t>분석 버전</t>
        </is>
      </c>
      <c r="B27" s="19" t="inlineStr">
        <is>
          <t>22대 Master ASIA Framework v22.0 / 분석일: 2026-07-31</t>
        </is>
      </c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</sheetData>
  <mergeCells count="12">
    <mergeCell ref="B24:G24"/>
    <mergeCell ref="A1:G1"/>
    <mergeCell ref="B22:G22"/>
    <mergeCell ref="F10:G10"/>
    <mergeCell ref="A3:G3"/>
    <mergeCell ref="B23:G23"/>
    <mergeCell ref="A12:G12"/>
    <mergeCell ref="B27:G27"/>
    <mergeCell ref="B26:G26"/>
    <mergeCell ref="B21:G21"/>
    <mergeCell ref="A19:G19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2026-07-31T02:42:23Z</dcterms:created>
  <dcterms:modified xsi:type="dcterms:W3CDTF">2026-07-31T02:42:23Z</dcterms:modified>
</cp:coreProperties>
</file>