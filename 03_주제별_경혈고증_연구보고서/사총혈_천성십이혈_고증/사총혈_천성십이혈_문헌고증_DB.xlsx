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종합판정" sheetId="1" state="visible" r:id="rId1"/>
    <sheet xmlns:r="http://schemas.openxmlformats.org/officeDocument/2006/relationships" name="01_논문개요" sheetId="2" state="visible" r:id="rId2"/>
    <sheet xmlns:r="http://schemas.openxmlformats.org/officeDocument/2006/relationships" name="02_원전대조" sheetId="3" state="visible" r:id="rId3"/>
    <sheet xmlns:r="http://schemas.openxmlformats.org/officeDocument/2006/relationships" name="03_연대정렬" sheetId="4" state="visible" r:id="rId4"/>
    <sheet xmlns:r="http://schemas.openxmlformats.org/officeDocument/2006/relationships" name="04_원리별검증" sheetId="5" state="visible" r:id="rId5"/>
    <sheet xmlns:r="http://schemas.openxmlformats.org/officeDocument/2006/relationships" name="05_해부신경분절" sheetId="6" state="visible" r:id="rId6"/>
    <sheet xmlns:r="http://schemas.openxmlformats.org/officeDocument/2006/relationships" name="06_결론타당도" sheetId="7" state="visible" r:id="rId7"/>
    <sheet xmlns:r="http://schemas.openxmlformats.org/officeDocument/2006/relationships" name="07_오류정정" sheetId="8" state="visible" r:id="rId8"/>
    <sheet xmlns:r="http://schemas.openxmlformats.org/officeDocument/2006/relationships" name="08_Table1_구성검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A3B12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FEBE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.9" customWidth="1" min="1" max="1"/>
    <col width="14.3" customWidth="1" min="2" max="2"/>
    <col width="66" customWidth="1" min="3" max="3"/>
  </cols>
  <sheetData>
    <row r="1">
      <c r="A1" s="1" t="inlineStr">
        <is>
          <t>0. 종합 판정 요약</t>
        </is>
      </c>
    </row>
    <row r="2">
      <c r="A2" s="2" t="inlineStr">
        <is>
          <t>영역</t>
        </is>
      </c>
      <c r="B2" s="2" t="inlineStr">
        <is>
          <t>판정</t>
        </is>
      </c>
      <c r="C2" s="2" t="inlineStr">
        <is>
          <t>핵심 근거</t>
        </is>
      </c>
    </row>
    <row r="3">
      <c r="A3" s="3" t="inlineStr">
        <is>
          <t>연구방법</t>
        </is>
      </c>
      <c r="B3" s="3" t="inlineStr">
        <is>
          <t>C (미흡)</t>
        </is>
      </c>
      <c r="C3" s="3" t="inlineStr">
        <is>
          <t>검토 대상 문헌의 선정 기준과 검색 범위를 밝히지 않음. 부위별 선혈을 다룬 가부가 여럿인데 4~6종만 골라 검토함. 원리의 1차 연원(《灵枢·终始》, 《小品方》)을 빠뜨림. 원문 인용 오류가 있음</t>
        </is>
      </c>
    </row>
    <row r="4">
      <c r="A4" s="3" t="inlineStr">
        <is>
          <t>결과 1: 질병 부위 → 관련 경맥</t>
        </is>
      </c>
      <c r="B4" s="3" t="inlineStr">
        <is>
          <t>B (대체로 타당)</t>
        </is>
      </c>
      <c r="C4" s="3" t="inlineStr">
        <is>
          <t>사총혈 4혈 중 3혈은 경맥 유주로 바로 설명됨. 열결→두항은 유주가 아니라 낙혈·표리 논리가 필요함. 천성십이혈 6쌍 중 2쌍(태충–곤륜, 통리–열결)은 서로 다른 경맥의 짝이라 "같은 경맥 짝" 설명에서 벗어남</t>
        </is>
      </c>
    </row>
    <row r="5">
      <c r="A5" s="3" t="inlineStr">
        <is>
          <t>결과 2: 주슬관절 이하 원위혈</t>
        </is>
      </c>
      <c r="B5" s="3" t="inlineStr">
        <is>
          <t>C+ (반례 존재)</t>
        </is>
      </c>
      <c r="C5" s="3" t="inlineStr">
        <is>
          <t>환도(GB30, 고관절부)가 천성십일혈·천성십이혈·천금십일혈 모두에 들어 있어 원리의 보편성을 반박함</t>
        </is>
      </c>
    </row>
    <row r="6">
      <c r="A6" s="3" t="inlineStr">
        <is>
          <t>결과 3: 주치 유사성 기반 대표혈</t>
        </is>
      </c>
      <c r="B6" s="3" t="inlineStr">
        <is>
          <t>D (검증 안 됨)</t>
        </is>
      </c>
      <c r="C6" s="3" t="inlineStr">
        <is>
          <t>이 원리를 뒷받침하는 자료·분석이 제시되지 않음. 저자들도 "향후 실험적 검증이 필요"하다고 인정함</t>
        </is>
      </c>
    </row>
    <row r="7">
      <c r="A7" s="3" t="inlineStr">
        <is>
          <t>"사총혈 → 천성십이혈 확장" 모형</t>
        </is>
      </c>
      <c r="B7" s="3" t="inlineStr">
        <is>
          <t>D (연대 역전)</t>
        </is>
      </c>
      <c r="C7" s="3" t="inlineStr">
        <is>
          <t>천성십일혈(《玉龙经》, 元 1329)이 사총혈 문헌(明 《乾坤生意》·《针灸大全》 1439)보다 앞섬. 확장보다 압축(천성 → 사총) 방향이 연대에 맞음</t>
        </is>
      </c>
    </row>
    <row r="8">
      <c r="A8" s="3" t="inlineStr">
        <is>
          <t>결론</t>
        </is>
      </c>
      <c r="B8" s="3" t="inlineStr">
        <is>
          <t>C+ (부분 과잉일반화)</t>
        </is>
      </c>
      <c r="C8" s="3" t="inlineStr">
        <is>
          <t>결론의 "가장 효과적인 것으로 추정"이라는 표현은 신중함. 그러나 4~6종 가부만으로 "주요 경혈 구성의 공통 원리"를 일반화했고, 임상 선혈에 도움이 된다는 주장에는 근거가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66" customWidth="1" min="2" max="2"/>
  </cols>
  <sheetData>
    <row r="1">
      <c r="A1" s="1" t="inlineStr">
        <is>
          <t>1. 논문 개요</t>
        </is>
      </c>
    </row>
    <row r="2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목적</t>
        </is>
      </c>
      <c r="B3" s="3" t="inlineStr">
        <is>
          <t>361혈 중 주요 경혈이 어떤 원리로 선정되었는지 규명</t>
        </is>
      </c>
    </row>
    <row r="4">
      <c r="A4" s="3" t="inlineStr">
        <is>
          <t>방법</t>
        </is>
      </c>
      <c r="B4" s="3" t="inlineStr">
        <is>
          <t>고전 의서에 근거해 사총혈·육총혈·팔맥교회혈과 천성십일혈·천성십이혈·천금십일혈의 구성을 검토. 방법 기술은 초록의 2문장이 전부임</t>
        </is>
      </c>
    </row>
    <row r="5">
      <c r="A5" s="3" t="inlineStr">
        <is>
          <t>결과</t>
        </is>
      </c>
      <c r="B5" s="3" t="inlineStr">
        <is>
          <t>① 질병 부위와 관련된 경맥의 경혈을 고르며, 주슬관절 이하 원위부에 위치함 ② 주치가 비슷한 경혈 중 대표혈을 고름. 동시에 쓰지 않고 부위에 따라 선택적으로 씀</t>
        </is>
      </c>
    </row>
    <row r="6">
      <c r="A6" s="3" t="inlineStr">
        <is>
          <t>결론</t>
        </is>
      </c>
      <c r="B6" s="3" t="inlineStr">
        <is>
          <t>주요 경혈 구성의 공통 원리를 밝혔으며, 이해하면 적절한 선혈에 도움이 됨</t>
        </is>
      </c>
    </row>
    <row r="7">
      <c r="A7" s="3" t="inlineStr">
        <is>
          <t>연구 유형</t>
        </is>
      </c>
      <c r="B7" s="3" t="inlineStr">
        <is>
          <t>서술적 문헌 고찰(narrative review). 체계적 문헌 고찰이나 정량 분석이 아님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.4" customWidth="1" min="1" max="1"/>
    <col width="66" customWidth="1" min="2" max="2"/>
    <col width="66" customWidth="1" min="3" max="3"/>
    <col width="26.4" customWidth="1" min="4" max="4"/>
  </cols>
  <sheetData>
    <row r="1">
      <c r="A1" s="1" t="inlineStr">
        <is>
          <t>2. 원전 대조 스크리닝 (Rank 1·2)</t>
        </is>
      </c>
    </row>
    <row r="2">
      <c r="A2" s="2" t="inlineStr">
        <is>
          <t>#</t>
        </is>
      </c>
      <c r="B2" s="2" t="inlineStr">
        <is>
          <t>논문 기술</t>
        </is>
      </c>
      <c r="C2" s="2" t="inlineStr">
        <is>
          <t>3대 원전·서지 대조</t>
        </is>
      </c>
      <c r="D2" s="2" t="inlineStr">
        <is>
          <t>판정</t>
        </is>
      </c>
    </row>
    <row r="3">
      <c r="A3" s="3" t="inlineStr">
        <is>
          <t>:-:</t>
        </is>
      </c>
      <c r="B3" s="3" t="inlineStr">
        <is>
          <t>:---</t>
        </is>
      </c>
      <c r="C3" s="3" t="inlineStr">
        <is>
          <t>:---</t>
        </is>
      </c>
      <c r="D3" s="3" t="inlineStr">
        <is>
          <t>:---:</t>
        </is>
      </c>
    </row>
    <row r="4">
      <c r="A4" s="3" t="inlineStr">
        <is>
          <t>1</t>
        </is>
      </c>
      <c r="B4" s="3" t="inlineStr">
        <is>
          <t>《四总穴歌》 "肚腹三里留, 腰背委中求, 頭項列缺尋, 面目合谷收" (각주 2), 본문 "면목"</t>
        </is>
      </c>
      <c r="C4" s="3" t="inlineStr">
        <is>
          <t>《徐氏针灸大全》 3:11(《穴位通鉴》 인용), 《针灸腧穴通考》 총론, 《证治通鉴》 모두 "面口合谷收" (针灸腧穴通考(上)_1-80.md L2116; 中国针灸穴位通鉴(上卷)_801-880.md L3618)</t>
        </is>
      </c>
      <c r="D4" s="3" t="inlineStr">
        <is>
          <t>인용 오류</t>
        </is>
      </c>
    </row>
    <row r="5">
      <c r="A5" s="3" t="inlineStr">
        <is>
          <t>2</t>
        </is>
      </c>
      <c r="B5" s="3" t="inlineStr">
        <is>
          <t>사총혈은 明 《乾坤生意》 이후 徐凤 《针灸大全》 《四总穴歌》</t>
        </is>
      </c>
      <c r="C5" s="3" t="inlineStr">
        <is>
          <t>《乾坤生意》 明·朱权, 《针灸大全》 明·徐凤 1439 (《证治通鉴》 인용서목)</t>
        </is>
      </c>
      <c r="D5" s="3" t="inlineStr">
        <is>
          <t>타당</t>
        </is>
      </c>
    </row>
    <row r="6">
      <c r="A6" s="3" t="inlineStr">
        <is>
          <t>3</t>
        </is>
      </c>
      <c r="B6" s="3" t="inlineStr">
        <is>
          <t>천성십일혈은 元 王国瑞 《扁鹊神应针灸玉龙经》, 태충 불포함</t>
        </is>
      </c>
      <c r="C6" s="3" t="inlineStr">
        <is>
          <t>《扁鹊神应针灸玉龙经》 元·王国瑞 1329 (《穴位通鉴》 인용서목). 《证治通鉴》 L158 "已上穴諸見前天星十一穴內"</t>
        </is>
      </c>
      <c r="D6" s="3" t="inlineStr">
        <is>
          <t>타당</t>
        </is>
      </c>
    </row>
    <row r="7">
      <c r="A7" s="3" t="inlineStr">
        <is>
          <t>4</t>
        </is>
      </c>
      <c r="B7" s="3" t="inlineStr">
        <is>
          <t>천성십이혈은 "명대 『침구대성』의 마단양 《천성십이혈치잡병가》" → 이어서 "서봉 『침구대전』의 《마단양천성십이혈병치잡병가》"</t>
        </is>
      </c>
      <c r="C7" s="3" t="inlineStr">
        <is>
          <t>《针灸大全》 1439가 초출이고 《针灸大成》 1601은 전재. 《穴位通鉴》은 《秘传常山杨敬斋针灸全书》·《针灸大成》 등도 인용</t>
        </is>
      </c>
      <c r="D7" s="3" t="inlineStr">
        <is>
          <t>서술 순서 혼선 (초출서를 명확히 해야 함)</t>
        </is>
      </c>
    </row>
    <row r="8">
      <c r="A8" s="3" t="inlineStr">
        <is>
          <t>5</t>
        </is>
      </c>
      <c r="B8" s="3" t="inlineStr">
        <is>
          <t>천금십일혈은 실제 10혈 (승산·통리 없음, 후계 있음)</t>
        </is>
      </c>
      <c r="C8" s="3" t="inlineStr">
        <is>
          <t>각주 6 원문 "三里內庭…委中崑崙…後谿幷列缺…還跳與陽陵" = 10혈. 《通考》·《穴位通鉴》에 "曲池與合谷, 頭面病可徹", "委中、崑崙治腰背痛相連" 확인</t>
        </is>
      </c>
      <c r="D8" s="3" t="inlineStr">
        <is>
          <t>타당</t>
        </is>
      </c>
    </row>
    <row r="9">
      <c r="A9" s="3" t="inlineStr">
        <is>
          <t>6</t>
        </is>
      </c>
      <c r="B9" s="3" t="inlineStr">
        <is>
          <t>Table 1 구성 (13혈 × 4개 가부)</t>
        </is>
      </c>
      <c r="C9" s="3" t="inlineStr">
        <is>
          <t>각주 4~6의 원문과 대조한 결과 일치</t>
        </is>
      </c>
      <c r="D9" s="3" t="inlineStr">
        <is>
          <t>타당</t>
        </is>
      </c>
    </row>
    <row r="10">
      <c r="A10" s="3" t="inlineStr">
        <is>
          <t>7</t>
        </is>
      </c>
      <c r="B10" s="3" t="inlineStr">
        <is>
          <t>"수궐음심포경의 대릉(PC6)"</t>
        </is>
      </c>
      <c r="C10" s="3" t="inlineStr">
        <is>
          <t>대릉은 PC7. PC6은 내관</t>
        </is>
      </c>
      <c r="D10" s="3" t="inlineStr">
        <is>
          <t>경혈코드 오류</t>
        </is>
      </c>
    </row>
    <row r="11">
      <c r="A11" s="3" t="inlineStr">
        <is>
          <t>8</t>
        </is>
      </c>
      <c r="B11" s="3" t="inlineStr">
        <is>
          <t>원위 취혈 원리를 《의학입문》(明 1575)에서 끌어옴</t>
        </is>
      </c>
      <c r="C11" s="3" t="inlineStr">
        <is>
          <t>1차 연원은 더 이르다. 《灵枢·终始》 "從腰以上者, 手太陰陽明皆主之; 從腰以下者, 足太陰陽明皆主之", 《小品方》(인 《曹氏灸经》) "頭病皆灸手臂穴; 心腹病皆灸脛足穴". 《证治通鉴》 按語: "《四總穴歌》…即是對上述兩條取穴原則的具體闡述" (中国针灸证治通鉴_81-160.md L2626-2632)</t>
        </is>
      </c>
      <c r="D11" s="3" t="inlineStr">
        <is>
          <t>1차 원천 누락</t>
        </is>
      </c>
    </row>
    <row r="12">
      <c r="A12" s="3" t="inlineStr">
        <is>
          <t>9</t>
        </is>
      </c>
      <c r="B12" s="3" t="inlineStr">
        <is>
          <t>부위별 대표혈 가부로 사총혈·천성 계열만 검토</t>
        </is>
      </c>
      <c r="C12" s="3" t="inlineStr">
        <is>
          <t>《通考》는 같은 "작용 부위 개괄" 사례로 《四总穴歌》와 함께 《通玄指要赋》("心胸病求掌後之大陵; 肩背患責肘前之三里…頭項痛擬後溪"), 《肘后歌》 등을 나란히 듦</t>
        </is>
      </c>
      <c r="D12" s="3" t="inlineStr">
        <is>
          <t>선정 편향 가능성</t>
        </is>
      </c>
    </row>
    <row r="13">
      <c r="A13" s="3" t="inlineStr">
        <is>
          <t>10</t>
        </is>
      </c>
      <c r="B13" s="3" t="inlineStr">
        <is>
          <t>사총혈의 "삼리" = 족삼리</t>
        </is>
      </c>
      <c r="C13" s="3" t="inlineStr">
        <is>
          <t>《穴位通鉴》(手三里 조)에 "'肚腹三里留', 皆不專指'足三里'也"라는 이견이 수록됨</t>
        </is>
      </c>
      <c r="D13" s="3" t="inlineStr">
        <is>
          <t>이견 미언급 (소수설이나 각주 처리 권장)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.8" customWidth="1" min="1" max="1"/>
    <col width="23.1" customWidth="1" min="2" max="2"/>
    <col width="46.2" customWidth="1" min="3" max="3"/>
    <col width="18.7" customWidth="1" min="4" max="4"/>
  </cols>
  <sheetData>
    <row r="1">
      <c r="A1" s="1" t="inlineStr">
        <is>
          <t>3. 원천 대 재인용 및 연대 정렬 (Rank 3)</t>
        </is>
      </c>
    </row>
    <row r="2">
      <c r="A2" s="2" t="inlineStr">
        <is>
          <t>연대</t>
        </is>
      </c>
      <c r="B2" s="2" t="inlineStr">
        <is>
          <t>문헌</t>
        </is>
      </c>
      <c r="C2" s="2" t="inlineStr">
        <is>
          <t>관련 내용</t>
        </is>
      </c>
      <c r="D2" s="2" t="inlineStr">
        <is>
          <t>원천/재인용</t>
        </is>
      </c>
    </row>
    <row r="3">
      <c r="A3" s="3" t="inlineStr">
        <is>
          <t>선진·한</t>
        </is>
      </c>
      <c r="B3" s="3" t="inlineStr">
        <is>
          <t>《灵枢·终始》</t>
        </is>
      </c>
      <c r="C3" s="3" t="inlineStr">
        <is>
          <t>허리 위는 手太陰·陽明, 허리 아래는 足太陰·陽明이 주관 (원위 상하 대응)</t>
        </is>
      </c>
      <c r="D3" s="3" t="inlineStr">
        <is>
          <t>1차</t>
        </is>
      </c>
    </row>
    <row r="4">
      <c r="A4" s="3" t="inlineStr">
        <is>
          <t>東晉~南北朝</t>
        </is>
      </c>
      <c r="B4" s="3" t="inlineStr">
        <is>
          <t>《小品方》(인 《曹氏灸经》)</t>
        </is>
      </c>
      <c r="C4" s="3" t="inlineStr">
        <is>
          <t>머리 병은 팔 혈, 심복 병은 정강이·발 혈</t>
        </is>
      </c>
      <c r="D4" s="3" t="inlineStr">
        <is>
          <t>1차</t>
        </is>
      </c>
    </row>
    <row r="5">
      <c r="A5" s="3" t="inlineStr">
        <is>
          <t>元 1329</t>
        </is>
      </c>
      <c r="B5" s="3" t="inlineStr">
        <is>
          <t>《扁鹊神应针灸玉龙经》 《天星十一穴歌诀》</t>
        </is>
      </c>
      <c r="C5" s="3" t="inlineStr">
        <is>
          <t>11혈 (태충 없음)</t>
        </is>
      </c>
      <c r="D5" s="3" t="inlineStr">
        <is>
          <t>1차 (가장 이른 주요혈 가부)</t>
        </is>
      </c>
    </row>
    <row r="6">
      <c r="A6" s="3" t="inlineStr">
        <is>
          <t>明初</t>
        </is>
      </c>
      <c r="B6" s="3" t="inlineStr">
        <is>
          <t>朱权 《乾坤生意》</t>
        </is>
      </c>
      <c r="C6" s="3" t="inlineStr">
        <is>
          <t>사총혈 초견 (논문 기술)</t>
        </is>
      </c>
      <c r="D6" s="3" t="inlineStr">
        <is>
          <t>1차</t>
        </is>
      </c>
    </row>
    <row r="7">
      <c r="A7" s="3" t="inlineStr">
        <is>
          <t>明 1439</t>
        </is>
      </c>
      <c r="B7" s="3" t="inlineStr">
        <is>
          <t>徐凤 《针灸大全》</t>
        </is>
      </c>
      <c r="C7" s="3" t="inlineStr">
        <is>
          <t>《四总穴歌》, 《千金十一穴歌》, 《马丹阳天星十二穴并治杂病歌》(태충 추가)</t>
        </is>
      </c>
      <c r="D7" s="3" t="inlineStr">
        <is>
          <t>1차·정리</t>
        </is>
      </c>
    </row>
    <row r="8">
      <c r="A8" s="3" t="inlineStr">
        <is>
          <t>明 1529</t>
        </is>
      </c>
      <c r="B8" s="3" t="inlineStr">
        <is>
          <t>高武 《针灸聚英》</t>
        </is>
      </c>
      <c r="C8" s="3" t="inlineStr">
        <is>
          <t>계승</t>
        </is>
      </c>
      <c r="D8" s="3" t="inlineStr">
        <is>
          <t>재인용</t>
        </is>
      </c>
    </row>
    <row r="9">
      <c r="A9" s="3" t="inlineStr">
        <is>
          <t>明 1575</t>
        </is>
      </c>
      <c r="B9" s="3" t="inlineStr">
        <is>
          <t>李梴 《医学入门》</t>
        </is>
      </c>
      <c r="C9" s="3" t="inlineStr">
        <is>
          <t>360혈 → 66혈 → 8혈 총결, "百病一鍼爲率, 多則四鍼"</t>
        </is>
      </c>
      <c r="D9" s="3" t="inlineStr">
        <is>
          <t>재해석</t>
        </is>
      </c>
    </row>
    <row r="10">
      <c r="A10" s="3" t="inlineStr">
        <is>
          <t>明 1601</t>
        </is>
      </c>
      <c r="B10" s="3" t="inlineStr">
        <is>
          <t>杨继洲 《针灸大成》</t>
        </is>
      </c>
      <c r="C10" s="3" t="inlineStr">
        <is>
          <t>천성십이혈 전재</t>
        </is>
      </c>
      <c r="D10" s="3" t="inlineStr">
        <is>
          <t>재인용</t>
        </is>
      </c>
    </row>
    <row r="11">
      <c r="A11" s="3" t="inlineStr">
        <is>
          <t>清 1742</t>
        </is>
      </c>
      <c r="B11" s="3" t="inlineStr">
        <is>
          <t>《医宗金鉴》</t>
        </is>
      </c>
      <c r="C11" s="3" t="inlineStr">
        <is>
          <t>팔맥교회 배합 부위</t>
        </is>
      </c>
      <c r="D11" s="3" t="inlineStr">
        <is>
          <t>재해석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8.3" customWidth="1" min="1" max="1"/>
    <col width="15.4" customWidth="1" min="2" max="2"/>
    <col width="26.4" customWidth="1" min="3" max="3"/>
    <col width="16.5" customWidth="1" min="4" max="4"/>
    <col width="51.7" customWidth="1" min="5" max="5"/>
  </cols>
  <sheetData>
    <row r="1">
      <c r="A1" s="1" t="inlineStr">
        <is>
          <t>4. 결과별 타당도 검증 — 4.1 원리 ①: 질병 부위 → 관련 경맥의 경혈</t>
        </is>
      </c>
    </row>
    <row r="2">
      <c r="A2" s="2" t="inlineStr">
        <is>
          <t>가부</t>
        </is>
      </c>
      <c r="B2" s="2" t="inlineStr">
        <is>
          <t>혈 (짝)</t>
        </is>
      </c>
      <c r="C2" s="2" t="inlineStr">
        <is>
          <t>주치 부위</t>
        </is>
      </c>
      <c r="D2" s="2" t="inlineStr">
        <is>
          <t>경맥 유주로 설명되는가</t>
        </is>
      </c>
      <c r="E2" s="2" t="inlineStr">
        <is>
          <t>비고</t>
        </is>
      </c>
    </row>
    <row r="3">
      <c r="A3" s="3" t="inlineStr">
        <is>
          <t>사총혈</t>
        </is>
      </c>
      <c r="B3" s="3" t="inlineStr">
        <is>
          <t>족삼리 ST36</t>
        </is>
      </c>
      <c r="C3" s="3" t="inlineStr">
        <is>
          <t>肚腹</t>
        </is>
      </c>
      <c r="D3" s="3" t="inlineStr">
        <is>
          <t>예</t>
        </is>
      </c>
      <c r="E3" s="3" t="inlineStr">
        <is>
          <t>족양명이 복부를 지남</t>
        </is>
      </c>
    </row>
    <row r="4">
      <c r="A4" s="3" t="inlineStr">
        <is>
          <t>사총혈</t>
        </is>
      </c>
      <c r="B4" s="3" t="inlineStr">
        <is>
          <t>위중 BL40</t>
        </is>
      </c>
      <c r="C4" s="3" t="inlineStr">
        <is>
          <t>腰背</t>
        </is>
      </c>
      <c r="D4" s="3" t="inlineStr">
        <is>
          <t>예</t>
        </is>
      </c>
      <c r="E4" s="3" t="inlineStr">
        <is>
          <t>족태양이 배요부를 지남</t>
        </is>
      </c>
    </row>
    <row r="5">
      <c r="A5" s="3" t="inlineStr">
        <is>
          <t>사총혈</t>
        </is>
      </c>
      <c r="B5" s="3" t="inlineStr">
        <is>
          <t>열결 LU7</t>
        </is>
      </c>
      <c r="C5" s="3" t="inlineStr">
        <is>
          <t>頭項</t>
        </is>
      </c>
      <c r="D5" s="3" t="inlineStr">
        <is>
          <t>아니오</t>
        </is>
      </c>
      <c r="E5" s="3" t="inlineStr">
        <is>
          <t>수태음 본경은 두항에 이르지 않음. 낙혈로 수양명에 통하는 논리(표리·낙맥)가 필요함</t>
        </is>
      </c>
    </row>
    <row r="6">
      <c r="A6" s="3" t="inlineStr">
        <is>
          <t>사총혈</t>
        </is>
      </c>
      <c r="B6" s="3" t="inlineStr">
        <is>
          <t>합곡 LI4</t>
        </is>
      </c>
      <c r="C6" s="3" t="inlineStr">
        <is>
          <t>面口</t>
        </is>
      </c>
      <c r="D6" s="3" t="inlineStr">
        <is>
          <t>예</t>
        </is>
      </c>
      <c r="E6" s="3" t="inlineStr">
        <is>
          <t>수양명이 얼굴·입을 지남</t>
        </is>
      </c>
    </row>
    <row r="7">
      <c r="A7" s="3" t="inlineStr">
        <is>
          <t>천성12</t>
        </is>
      </c>
      <c r="B7" s="3" t="inlineStr">
        <is>
          <t>족삼리–내정</t>
        </is>
      </c>
      <c r="C7" s="3" t="inlineStr">
        <is>
          <t>복부</t>
        </is>
      </c>
      <c r="D7" s="3" t="inlineStr">
        <is>
          <t>예 (같은 경맥 짝)</t>
        </is>
      </c>
      <c r="E7" s="3" t="inlineStr"/>
    </row>
    <row r="8">
      <c r="A8" s="3" t="inlineStr">
        <is>
          <t>천성12</t>
        </is>
      </c>
      <c r="B8" s="3" t="inlineStr">
        <is>
          <t>곡지–합곡</t>
        </is>
      </c>
      <c r="C8" s="3" t="inlineStr">
        <is>
          <t>두면</t>
        </is>
      </c>
      <c r="D8" s="3" t="inlineStr">
        <is>
          <t>예 (같은 경맥 짝)</t>
        </is>
      </c>
      <c r="E8" s="3" t="inlineStr"/>
    </row>
    <row r="9">
      <c r="A9" s="3" t="inlineStr">
        <is>
          <t>천성12</t>
        </is>
      </c>
      <c r="B9" s="3" t="inlineStr">
        <is>
          <t>위중–승산</t>
        </is>
      </c>
      <c r="C9" s="3" t="inlineStr">
        <is>
          <t>요배·하지</t>
        </is>
      </c>
      <c r="D9" s="3" t="inlineStr">
        <is>
          <t>예 (같은 경맥 짝)</t>
        </is>
      </c>
      <c r="E9" s="3" t="inlineStr"/>
    </row>
    <row r="10">
      <c r="A10" s="3" t="inlineStr">
        <is>
          <t>천성12</t>
        </is>
      </c>
      <c r="B10" s="3" t="inlineStr">
        <is>
          <t>환도–양릉천</t>
        </is>
      </c>
      <c r="C10" s="3" t="inlineStr">
        <is>
          <t>측면</t>
        </is>
      </c>
      <c r="D10" s="3" t="inlineStr">
        <is>
          <t>예 (같은 경맥 짝)</t>
        </is>
      </c>
      <c r="E10" s="3" t="inlineStr"/>
    </row>
    <row r="11">
      <c r="A11" s="3" t="inlineStr">
        <is>
          <t>천성12</t>
        </is>
      </c>
      <c r="B11" s="3" t="inlineStr">
        <is>
          <t>태충–곤륜</t>
        </is>
      </c>
      <c r="C11" s="3" t="inlineStr">
        <is>
          <t>머리·눈 / 요배·하지</t>
        </is>
      </c>
      <c r="D11" s="3" t="inlineStr">
        <is>
          <t>다른 경맥 짝 (LR+BL)</t>
        </is>
      </c>
      <c r="E11" s="3" t="inlineStr">
        <is>
          <t>4개 사총혈에 짝을 하나씩 붙이고 측면 쌍을 더했다는 확장 모형으로 설명되지 않는 쌍</t>
        </is>
      </c>
    </row>
    <row r="12">
      <c r="A12" s="3" t="inlineStr">
        <is>
          <t>천성12</t>
        </is>
      </c>
      <c r="B12" s="3" t="inlineStr">
        <is>
          <t>통리–열결</t>
        </is>
      </c>
      <c r="C12" s="3" t="inlineStr">
        <is>
          <t>심흉 / 폐·인후</t>
        </is>
      </c>
      <c r="D12" s="3" t="inlineStr">
        <is>
          <t>다른 경맥 짝 (HT+LU)</t>
        </is>
      </c>
      <c r="E12" s="3" t="inlineStr">
        <is>
          <t>천금십일혈은 대신 "후계–열결"을 짝지음</t>
        </is>
      </c>
    </row>
    <row r="13"/>
    <row r="14">
      <c r="A14" s="1" t="inlineStr">
        <is>
          <t>4. 결과별 타당도 검증 — 4.2 원리 ②: 주슬관절 이하 원위혈</t>
        </is>
      </c>
    </row>
    <row r="15">
      <c r="A15" s="2" t="inlineStr">
        <is>
          <t>혈</t>
        </is>
      </c>
      <c r="B15" s="2" t="inlineStr">
        <is>
          <t>위치</t>
        </is>
      </c>
      <c r="C15" s="2" t="inlineStr">
        <is>
          <t>주슬관절 이하인가</t>
        </is>
      </c>
    </row>
    <row r="16">
      <c r="A16" s="3" t="inlineStr">
        <is>
          <t>ST36, ST44, LI4, LU7, BL57, BL60, HT5, LR3, SI3, GB34</t>
        </is>
      </c>
      <c r="B16" s="3" t="inlineStr">
        <is>
          <t>아래팔·손, 종아리·발</t>
        </is>
      </c>
      <c r="C16" s="3" t="inlineStr">
        <is>
          <t>예</t>
        </is>
      </c>
    </row>
    <row r="17">
      <c r="A17" s="3" t="inlineStr">
        <is>
          <t>LI11 곡지, BL40 위중</t>
        </is>
      </c>
      <c r="B17" s="3" t="inlineStr">
        <is>
          <t>팔꿈치·무릎 높이 (합혈)</t>
        </is>
      </c>
      <c r="C17" s="3" t="inlineStr">
        <is>
          <t>경계 (오수혈 체계상 "이하"에 포함 가능)</t>
        </is>
      </c>
    </row>
    <row r="18">
      <c r="A18" s="3" t="inlineStr">
        <is>
          <t>GB30 환도</t>
        </is>
      </c>
      <c r="B18" s="3" t="inlineStr">
        <is>
          <t>볼기부, 고관절 부위</t>
        </is>
      </c>
      <c r="C18" s="3" t="inlineStr">
        <is>
          <t>아니오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8.5" customWidth="1" min="1" max="1"/>
    <col width="24.2" customWidth="1" min="2" max="2"/>
    <col width="12" customWidth="1" min="3" max="3"/>
    <col width="28.6" customWidth="1" min="4" max="4"/>
    <col width="36.3" customWidth="1" min="5" max="5"/>
    <col width="12" customWidth="1" min="6" max="6"/>
  </cols>
  <sheetData>
    <row r="1">
      <c r="A1" s="1" t="inlineStr">
        <is>
          <t>5. 해부·신경분절 검증 (Rank 5·6: Layer A·B)</t>
        </is>
      </c>
    </row>
    <row r="2">
      <c r="A2" s="2" t="inlineStr">
        <is>
          <t>혈</t>
        </is>
      </c>
      <c r="B2" s="2" t="inlineStr">
        <is>
          <t>지배 신경 (김재효 / 공통교재)</t>
        </is>
      </c>
      <c r="C2" s="2" t="inlineStr">
        <is>
          <t>혈 위치의 분절</t>
        </is>
      </c>
      <c r="D2" s="2" t="inlineStr">
        <is>
          <t>표적 부위의 분절·신경</t>
        </is>
      </c>
      <c r="E2" s="2" t="inlineStr">
        <is>
          <t>관계</t>
        </is>
      </c>
      <c r="F2" s="2" t="inlineStr">
        <is>
          <t>마스터 DB 역색인</t>
        </is>
      </c>
    </row>
    <row r="3">
      <c r="A3" s="3" t="inlineStr">
        <is>
          <t>ST36 족삼리</t>
        </is>
      </c>
      <c r="B3" s="3" t="inlineStr">
        <is>
          <t>가쪽장딴지피부신경, 깊은종아리신경</t>
        </is>
      </c>
      <c r="C3" s="3" t="inlineStr">
        <is>
          <t>L4-S1</t>
        </is>
      </c>
      <c r="D3" s="3" t="inlineStr">
        <is>
          <t>복부 내장 (교감 T5-L2, 미주신경)</t>
        </is>
      </c>
      <c r="E3" s="3" t="inlineStr">
        <is>
          <t>비분절 (상위중추·미주 경로)</t>
        </is>
      </c>
      <c r="F3" s="3" t="inlineStr">
        <is>
          <t>102편</t>
        </is>
      </c>
    </row>
    <row r="4">
      <c r="A4" s="3" t="inlineStr">
        <is>
          <t>BL40 위중</t>
        </is>
      </c>
      <c r="B4" s="3" t="inlineStr">
        <is>
          <t>뒤넙다리피부신경, 정강신경</t>
        </is>
      </c>
      <c r="C4" s="3" t="inlineStr">
        <is>
          <t>L4-S3</t>
        </is>
      </c>
      <c r="D4" s="3" t="inlineStr">
        <is>
          <t>허리·등 (요천추 L1-S1 포함)</t>
        </is>
      </c>
      <c r="E4" s="3" t="inlineStr">
        <is>
          <t>부분 분절 중첩</t>
        </is>
      </c>
      <c r="F4" s="3" t="inlineStr">
        <is>
          <t>27편</t>
        </is>
      </c>
    </row>
    <row r="5">
      <c r="A5" s="3" t="inlineStr">
        <is>
          <t>LU7 열결</t>
        </is>
      </c>
      <c r="B5" s="3" t="inlineStr">
        <is>
          <t>가쪽아래팔피부신경, 노신경 얕은가지</t>
        </is>
      </c>
      <c r="C5" s="3" t="inlineStr">
        <is>
          <t>C5-C7</t>
        </is>
      </c>
      <c r="D5" s="3" t="inlineStr">
        <is>
          <t>목 (C2-C6), 머리 (삼차신경·C2-C3)</t>
        </is>
      </c>
      <c r="E5" s="3" t="inlineStr">
        <is>
          <t>부분 중첩 (아래 목)</t>
        </is>
      </c>
      <c r="F5" s="3" t="inlineStr">
        <is>
          <t>5편</t>
        </is>
      </c>
    </row>
    <row r="6">
      <c r="A6" s="3" t="inlineStr">
        <is>
          <t>LI4 합곡</t>
        </is>
      </c>
      <c r="B6" s="3" t="inlineStr">
        <is>
          <t>등쪽손가락신경(노신경), 자신경 깊은가지</t>
        </is>
      </c>
      <c r="C6" s="3" t="inlineStr">
        <is>
          <t>C6-T1</t>
        </is>
      </c>
      <c r="D6" s="3" t="inlineStr">
        <is>
          <t>얼굴·입 (삼차신경 V2·V3)</t>
        </is>
      </c>
      <c r="E6" s="3" t="inlineStr">
        <is>
          <t>비분절 (가설: 손–얼굴 피질 체성지도의 인접성, DNIC)</t>
        </is>
      </c>
      <c r="F6" s="3" t="inlineStr">
        <is>
          <t>71편</t>
        </is>
      </c>
    </row>
    <row r="7">
      <c r="A7" s="3" t="inlineStr">
        <is>
          <t>GB30 환도</t>
        </is>
      </c>
      <c r="B7" s="3" t="inlineStr">
        <is>
          <t>위·아래엉덩피부신경, 궁둥신경</t>
        </is>
      </c>
      <c r="C7" s="3" t="inlineStr">
        <is>
          <t>L4-S3</t>
        </is>
      </c>
      <c r="D7" s="3" t="inlineStr">
        <is>
          <t>슬전·액협 (주치 기술)</t>
        </is>
      </c>
      <c r="E7" s="3" t="inlineStr">
        <is>
          <t>국소·분절</t>
        </is>
      </c>
      <c r="F7" s="3" t="inlineStr">
        <is>
          <t>8편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.90000000000001" customWidth="1" min="1" max="1"/>
    <col width="12" customWidth="1" min="2" max="2"/>
    <col width="66" customWidth="1" min="3" max="3"/>
  </cols>
  <sheetData>
    <row r="1">
      <c r="A1" s="1" t="inlineStr">
        <is>
          <t>6. 결론 타당도</t>
        </is>
      </c>
    </row>
    <row r="2">
      <c r="A2" s="2" t="inlineStr">
        <is>
          <t>결론 문장</t>
        </is>
      </c>
      <c r="B2" s="2" t="inlineStr">
        <is>
          <t>근거 충족도</t>
        </is>
      </c>
      <c r="C2" s="2" t="inlineStr">
        <is>
          <t>평가</t>
        </is>
      </c>
    </row>
    <row r="3">
      <c r="A3" s="3" t="inlineStr">
        <is>
          <t>"주요 경혈 구성의 공통 원리를 밝혔다(revealed)"</t>
        </is>
      </c>
      <c r="B3" s="3" t="inlineStr">
        <is>
          <t>낮음</t>
        </is>
      </c>
      <c r="C3" s="3" t="inlineStr">
        <is>
          <t>표본이 4~6종 가부이고, 반례(환도, 다른 경맥 짝)를 처리하지 않았으며, 다른 부위별 가부(《通玄指要赋》 등)를 검토하지 않음. "제안했다(proposed)"가 적절함. 본문 4절 첫머리는 실제로 "다음과 같이 제안한다"라고 씀</t>
        </is>
      </c>
    </row>
    <row r="4">
      <c r="A4" s="3" t="inlineStr">
        <is>
          <t>"질병 부위를 유주하는 경맥 상 주슬관절 이하 원위혈 중 대표혈 선정"</t>
        </is>
      </c>
      <c r="B4" s="3" t="inlineStr">
        <is>
          <t>중간</t>
        </is>
      </c>
      <c r="C4" s="3" t="inlineStr">
        <is>
          <t>혈 단위 경향으로는 맞지만 보편 원리로는 반례가 있음</t>
        </is>
      </c>
    </row>
    <row r="5">
      <c r="A5" s="3" t="inlineStr">
        <is>
          <t>"주치 유사성에 기반하여 가장 효과적인 것으로 추정되는 경혈"</t>
        </is>
      </c>
      <c r="B5" s="3" t="inlineStr">
        <is>
          <t>낮음</t>
        </is>
      </c>
      <c r="C5" s="3" t="inlineStr">
        <is>
          <t>추정 근거가 제시되지 않음 (저자도 인정)</t>
        </is>
      </c>
    </row>
    <row r="6">
      <c r="A6" s="3" t="inlineStr">
        <is>
          <t>"선혈 원리를 이해하면 효율적·효과적 치료가 가능"</t>
        </is>
      </c>
      <c r="B6" s="3" t="inlineStr">
        <is>
          <t>근거 없음</t>
        </is>
      </c>
      <c r="C6" s="3" t="inlineStr">
        <is>
          <t>임상 자료가 없는 규범적 주장</t>
        </is>
      </c>
    </row>
    <row r="7">
      <c r="A7" s="3" t="inlineStr">
        <is>
          <t>사총혈·천성십이혈은 "총론적 접근", 질환별 혈은 "각론적 접근"</t>
        </is>
      </c>
      <c r="B7" s="3" t="inlineStr">
        <is>
          <t>중간~높음</t>
        </is>
      </c>
      <c r="C7" s="3" t="inlineStr">
        <is>
          <t>개념 구분으로 유용하며, 참고문헌 16(Kye &amp; Kim 2020)과도 정합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.1" customWidth="1" min="1" max="1"/>
    <col width="20.9" customWidth="1" min="2" max="2"/>
    <col width="26.4" customWidth="1" min="3" max="3"/>
    <col width="50.6" customWidth="1" min="4" max="4"/>
  </cols>
  <sheetData>
    <row r="1">
      <c r="A1" s="1" t="inlineStr">
        <is>
          <t>7. 오류·정정 목록</t>
        </is>
      </c>
    </row>
    <row r="2">
      <c r="A2" s="2" t="inlineStr">
        <is>
          <t>#</t>
        </is>
      </c>
      <c r="B2" s="2" t="inlineStr">
        <is>
          <t>위치</t>
        </is>
      </c>
      <c r="C2" s="2" t="inlineStr">
        <is>
          <t>원문</t>
        </is>
      </c>
      <c r="D2" s="2" t="inlineStr">
        <is>
          <t>정정</t>
        </is>
      </c>
    </row>
    <row r="3">
      <c r="A3" s="3" t="inlineStr">
        <is>
          <t>:-:</t>
        </is>
      </c>
      <c r="B3" s="3" t="inlineStr">
        <is>
          <t>:---</t>
        </is>
      </c>
      <c r="C3" s="3" t="inlineStr">
        <is>
          <t>:---</t>
        </is>
      </c>
      <c r="D3" s="3" t="inlineStr">
        <is>
          <t>:---</t>
        </is>
      </c>
    </row>
    <row r="4">
      <c r="A4" s="3" t="inlineStr">
        <is>
          <t>1</t>
        </is>
      </c>
      <c r="B4" s="3" t="inlineStr">
        <is>
          <t>p.227 각주 2, 본문 "면목"</t>
        </is>
      </c>
      <c r="C4" s="3" t="inlineStr">
        <is>
          <t>面目合谷收</t>
        </is>
      </c>
      <c r="D4" s="3" t="inlineStr">
        <is>
          <t>面口合谷收 (《针灸大全》)</t>
        </is>
      </c>
    </row>
    <row r="5">
      <c r="A5" s="3" t="inlineStr">
        <is>
          <t>2</t>
        </is>
      </c>
      <c r="B5" s="3" t="inlineStr">
        <is>
          <t>p.229</t>
        </is>
      </c>
      <c r="C5" s="3" t="inlineStr">
        <is>
          <t>대릉(PC6)</t>
        </is>
      </c>
      <c r="D5" s="3" t="inlineStr">
        <is>
          <t>대릉(PC7)</t>
        </is>
      </c>
    </row>
    <row r="6">
      <c r="A6" s="3" t="inlineStr">
        <is>
          <t>3</t>
        </is>
      </c>
      <c r="B6" s="3" t="inlineStr">
        <is>
          <t>p.228</t>
        </is>
      </c>
      <c r="C6" s="3" t="inlineStr">
        <is>
          <t>천성십이혈이 "명대 『침구대성』"에서 전해짐</t>
        </is>
      </c>
      <c r="D6" s="3" t="inlineStr">
        <is>
          <t>초출은 《针灸大全》(1439). 《针灸大成》(1601)은 전재</t>
        </is>
      </c>
    </row>
    <row r="7">
      <c r="A7" s="3" t="inlineStr">
        <is>
          <t>4</t>
        </is>
      </c>
      <c r="B7" s="3" t="inlineStr">
        <is>
          <t>p.229</t>
        </is>
      </c>
      <c r="C7" s="3" t="inlineStr">
        <is>
          <t>천성십이혈 = 사총혈의 "확장된 버전"</t>
        </is>
      </c>
      <c r="D7" s="3" t="inlineStr">
        <is>
          <t>연대상 천성십일혈(1329)이 앞서므로 "확장"보다 "압축" 관계로 보는 것이 타당</t>
        </is>
      </c>
    </row>
    <row r="8">
      <c r="A8" s="3" t="inlineStr">
        <is>
          <t>5</t>
        </is>
      </c>
      <c r="B8" s="3" t="inlineStr">
        <is>
          <t>p.230 원리 ②</t>
        </is>
      </c>
      <c r="C8" s="3" t="inlineStr">
        <is>
          <t>주슬관절 이하 원위부에서 선정</t>
        </is>
      </c>
      <c r="D8" s="3" t="inlineStr">
        <is>
          <t>환도(GB30) 예외를 명시해야 함</t>
        </is>
      </c>
    </row>
    <row r="9">
      <c r="A9" s="3" t="inlineStr">
        <is>
          <t>6</t>
        </is>
      </c>
      <c r="B9" s="3" t="inlineStr">
        <is>
          <t>p.229 본문 대 Fig.1B</t>
        </is>
      </c>
      <c r="C9" s="3" t="inlineStr">
        <is>
          <t>짝 구성이 서로 다름</t>
        </is>
      </c>
      <c r="D9" s="3" t="inlineStr">
        <is>
          <t>천금십일혈 짝과 천성십이혈 짝을 구분해서 기술해야 함</t>
        </is>
      </c>
    </row>
    <row r="10">
      <c r="A10" s="3" t="inlineStr">
        <is>
          <t>7</t>
        </is>
      </c>
      <c r="B10" s="3" t="inlineStr">
        <is>
          <t>초록·결론</t>
        </is>
      </c>
      <c r="C10" s="3" t="inlineStr">
        <is>
          <t>revealed / 밝혔다</t>
        </is>
      </c>
      <c r="D10" s="3" t="inlineStr">
        <is>
          <t>proposed / 제안한다</t>
        </is>
      </c>
    </row>
    <row r="11">
      <c r="A11" s="3" t="inlineStr">
        <is>
          <t>8</t>
        </is>
      </c>
      <c r="B11" s="3" t="inlineStr">
        <is>
          <t>방법</t>
        </is>
      </c>
      <c r="C11" s="3" t="inlineStr">
        <is>
          <t>문헌 선정 기준이 기술되지 않음</t>
        </is>
      </c>
      <c r="D11" s="3" t="inlineStr">
        <is>
          <t>검토 대상 가부의 선정 기준, 판본, 배제 사유를 명시해야 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코드</t>
        </is>
      </c>
      <c r="B1" s="4" t="inlineStr">
        <is>
          <t>혈명</t>
        </is>
      </c>
      <c r="C1" s="4" t="inlineStr">
        <is>
          <t>사총혈</t>
        </is>
      </c>
      <c r="D1" s="4" t="inlineStr">
        <is>
          <t>천금십일혈(10)</t>
        </is>
      </c>
      <c r="E1" s="4" t="inlineStr">
        <is>
          <t>천성십일혈</t>
        </is>
      </c>
      <c r="F1" s="4" t="inlineStr">
        <is>
          <t>천성십이혈</t>
        </is>
      </c>
      <c r="G1" s="4" t="inlineStr">
        <is>
          <t>포함 가부 수</t>
        </is>
      </c>
      <c r="H1" s="4" t="inlineStr">
        <is>
          <t>주슬관절 이하</t>
        </is>
      </c>
    </row>
    <row r="2">
      <c r="A2" t="inlineStr">
        <is>
          <t>ST36</t>
        </is>
      </c>
      <c r="B2" t="inlineStr">
        <is>
          <t>족삼리</t>
        </is>
      </c>
      <c r="C2" t="n">
        <v>1</v>
      </c>
      <c r="D2" t="n">
        <v>1</v>
      </c>
      <c r="E2" t="n">
        <v>1</v>
      </c>
      <c r="F2" t="n">
        <v>1</v>
      </c>
      <c r="G2">
        <f>SUM(C2:F2)</f>
        <v/>
      </c>
      <c r="H2" t="inlineStr">
        <is>
          <t>Y</t>
        </is>
      </c>
    </row>
    <row r="3">
      <c r="A3" t="inlineStr">
        <is>
          <t>LI4</t>
        </is>
      </c>
      <c r="B3" t="inlineStr">
        <is>
          <t>합곡</t>
        </is>
      </c>
      <c r="C3" t="n">
        <v>1</v>
      </c>
      <c r="D3" t="n">
        <v>1</v>
      </c>
      <c r="E3" t="n">
        <v>1</v>
      </c>
      <c r="F3" t="n">
        <v>1</v>
      </c>
      <c r="G3">
        <f>SUM(C3:F3)</f>
        <v/>
      </c>
      <c r="H3" t="inlineStr">
        <is>
          <t>Y</t>
        </is>
      </c>
    </row>
    <row r="4">
      <c r="A4" t="inlineStr">
        <is>
          <t>BL40</t>
        </is>
      </c>
      <c r="B4" t="inlineStr">
        <is>
          <t>위중</t>
        </is>
      </c>
      <c r="C4" t="n">
        <v>1</v>
      </c>
      <c r="D4" t="n">
        <v>1</v>
      </c>
      <c r="E4" t="n">
        <v>1</v>
      </c>
      <c r="F4" t="n">
        <v>1</v>
      </c>
      <c r="G4">
        <f>SUM(C4:F4)</f>
        <v/>
      </c>
      <c r="H4" t="inlineStr">
        <is>
          <t>경계</t>
        </is>
      </c>
    </row>
    <row r="5">
      <c r="A5" t="inlineStr">
        <is>
          <t>LU7</t>
        </is>
      </c>
      <c r="B5" t="inlineStr">
        <is>
          <t>열결</t>
        </is>
      </c>
      <c r="C5" t="n">
        <v>1</v>
      </c>
      <c r="D5" t="n">
        <v>1</v>
      </c>
      <c r="E5" t="n">
        <v>1</v>
      </c>
      <c r="F5" t="n">
        <v>1</v>
      </c>
      <c r="G5">
        <f>SUM(C5:F5)</f>
        <v/>
      </c>
      <c r="H5" t="inlineStr">
        <is>
          <t>Y</t>
        </is>
      </c>
    </row>
    <row r="6">
      <c r="A6" t="inlineStr">
        <is>
          <t>ST44</t>
        </is>
      </c>
      <c r="B6" t="inlineStr">
        <is>
          <t>내정</t>
        </is>
      </c>
      <c r="C6" t="n">
        <v>0</v>
      </c>
      <c r="D6" t="n">
        <v>1</v>
      </c>
      <c r="E6" t="n">
        <v>1</v>
      </c>
      <c r="F6" t="n">
        <v>1</v>
      </c>
      <c r="G6">
        <f>SUM(C6:F6)</f>
        <v/>
      </c>
      <c r="H6" t="inlineStr">
        <is>
          <t>Y</t>
        </is>
      </c>
    </row>
    <row r="7">
      <c r="A7" t="inlineStr">
        <is>
          <t>LI11</t>
        </is>
      </c>
      <c r="B7" t="inlineStr">
        <is>
          <t>곡지</t>
        </is>
      </c>
      <c r="C7" t="n">
        <v>0</v>
      </c>
      <c r="D7" t="n">
        <v>1</v>
      </c>
      <c r="E7" t="n">
        <v>1</v>
      </c>
      <c r="F7" t="n">
        <v>1</v>
      </c>
      <c r="G7">
        <f>SUM(C7:F7)</f>
        <v/>
      </c>
      <c r="H7" t="inlineStr">
        <is>
          <t>경계</t>
        </is>
      </c>
    </row>
    <row r="8">
      <c r="A8" t="inlineStr">
        <is>
          <t>BL57</t>
        </is>
      </c>
      <c r="B8" t="inlineStr">
        <is>
          <t>승산</t>
        </is>
      </c>
      <c r="C8" t="n">
        <v>0</v>
      </c>
      <c r="D8" t="n">
        <v>0</v>
      </c>
      <c r="E8" t="n">
        <v>1</v>
      </c>
      <c r="F8" t="n">
        <v>1</v>
      </c>
      <c r="G8">
        <f>SUM(C8:F8)</f>
        <v/>
      </c>
      <c r="H8" t="inlineStr">
        <is>
          <t>Y</t>
        </is>
      </c>
    </row>
    <row r="9">
      <c r="A9" t="inlineStr">
        <is>
          <t>HT5</t>
        </is>
      </c>
      <c r="B9" t="inlineStr">
        <is>
          <t>통리</t>
        </is>
      </c>
      <c r="C9" t="n">
        <v>0</v>
      </c>
      <c r="D9" t="n">
        <v>0</v>
      </c>
      <c r="E9" t="n">
        <v>1</v>
      </c>
      <c r="F9" t="n">
        <v>1</v>
      </c>
      <c r="G9">
        <f>SUM(C9:F9)</f>
        <v/>
      </c>
      <c r="H9" t="inlineStr">
        <is>
          <t>Y</t>
        </is>
      </c>
    </row>
    <row r="10">
      <c r="A10" t="inlineStr">
        <is>
          <t>GB34</t>
        </is>
      </c>
      <c r="B10" t="inlineStr">
        <is>
          <t>양릉천</t>
        </is>
      </c>
      <c r="C10" t="n">
        <v>0</v>
      </c>
      <c r="D10" t="n">
        <v>1</v>
      </c>
      <c r="E10" t="n">
        <v>1</v>
      </c>
      <c r="F10" t="n">
        <v>1</v>
      </c>
      <c r="G10">
        <f>SUM(C10:F10)</f>
        <v/>
      </c>
      <c r="H10" t="inlineStr">
        <is>
          <t>Y</t>
        </is>
      </c>
    </row>
    <row r="11">
      <c r="A11" t="inlineStr">
        <is>
          <t>GB30</t>
        </is>
      </c>
      <c r="B11" t="inlineStr">
        <is>
          <t>환도</t>
        </is>
      </c>
      <c r="C11" t="n">
        <v>0</v>
      </c>
      <c r="D11" t="n">
        <v>1</v>
      </c>
      <c r="E11" t="n">
        <v>1</v>
      </c>
      <c r="F11" t="n">
        <v>1</v>
      </c>
      <c r="G11">
        <f>SUM(C11:F11)</f>
        <v/>
      </c>
      <c r="H11" t="inlineStr">
        <is>
          <t>N</t>
        </is>
      </c>
    </row>
    <row r="12">
      <c r="A12" t="inlineStr">
        <is>
          <t>BL60</t>
        </is>
      </c>
      <c r="B12" t="inlineStr">
        <is>
          <t>곤륜</t>
        </is>
      </c>
      <c r="C12" t="n">
        <v>0</v>
      </c>
      <c r="D12" t="n">
        <v>1</v>
      </c>
      <c r="E12" t="n">
        <v>1</v>
      </c>
      <c r="F12" t="n">
        <v>1</v>
      </c>
      <c r="G12">
        <f>SUM(C12:F12)</f>
        <v/>
      </c>
      <c r="H12" t="inlineStr">
        <is>
          <t>Y</t>
        </is>
      </c>
    </row>
    <row r="13">
      <c r="A13" t="inlineStr">
        <is>
          <t>LR3</t>
        </is>
      </c>
      <c r="B13" t="inlineStr">
        <is>
          <t>태충</t>
        </is>
      </c>
      <c r="C13" t="n">
        <v>0</v>
      </c>
      <c r="D13" t="n">
        <v>0</v>
      </c>
      <c r="E13" t="n">
        <v>0</v>
      </c>
      <c r="F13" t="n">
        <v>1</v>
      </c>
      <c r="G13">
        <f>SUM(C13:F13)</f>
        <v/>
      </c>
      <c r="H13" t="inlineStr">
        <is>
          <t>Y</t>
        </is>
      </c>
    </row>
    <row r="14">
      <c r="A14" t="inlineStr">
        <is>
          <t>SI3</t>
        </is>
      </c>
      <c r="B14" t="inlineStr">
        <is>
          <t>후계</t>
        </is>
      </c>
      <c r="C14" t="n">
        <v>0</v>
      </c>
      <c r="D14" t="n">
        <v>1</v>
      </c>
      <c r="E14" t="n">
        <v>0</v>
      </c>
      <c r="F14" t="n">
        <v>0</v>
      </c>
      <c r="G14">
        <f>SUM(C14:F14)</f>
        <v/>
      </c>
      <c r="H14" t="inlineStr">
        <is>
          <t>Y</t>
        </is>
      </c>
    </row>
    <row r="15">
      <c r="A15" t="inlineStr">
        <is>
          <t>합계</t>
        </is>
      </c>
      <c r="B15" t="inlineStr"/>
      <c r="C15">
        <f>SUM(C2:C14)</f>
        <v/>
      </c>
      <c r="D15">
        <f>SUM(D2:D14)</f>
        <v/>
      </c>
      <c r="E15">
        <f>SUM(E2:E14)</f>
        <v/>
      </c>
      <c r="F15">
        <f>SUM(F2:F14)</f>
        <v/>
      </c>
      <c r="G15" t="inlineStr"/>
      <c r="H15">
        <f>COUNTIF(H2:H14,"N")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2026-10-03T10:46:28Z</dcterms:created>
  <dcterms:modified xmlns:dcterms="http://purl.org/dc/terms/" xmlns:xsi="http://www.w3.org/2001/XMLSchema-instance" xsi:type="dcterms:W3CDTF">2026-10-03T10:46:29Z</dcterms:modified>
</cp:coreProperties>
</file>